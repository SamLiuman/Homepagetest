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iuTi\Desktop\小论文\Homepagetest-main\grade-calc\"/>
    </mc:Choice>
  </mc:AlternateContent>
  <xr:revisionPtr revIDLastSave="0" documentId="13_ncr:1_{1EA0671E-C489-45F4-A5B4-8190B8A9DB42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车辆工程" sheetId="1" r:id="rId1"/>
    <sheet name="工业工程" sheetId="2" r:id="rId2"/>
    <sheet name="机械工程" sheetId="3" r:id="rId3"/>
    <sheet name="能源与动力工程" sheetId="4" r:id="rId4"/>
    <sheet name="智能制造工程" sheetId="5" r:id="rId5"/>
    <sheet name="装甲车辆工程" sheetId="6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3" i="6" l="1"/>
  <c r="T63" i="6" s="1"/>
  <c r="U63" i="6" s="1"/>
  <c r="D63" i="6"/>
  <c r="S62" i="6"/>
  <c r="D62" i="6"/>
  <c r="S61" i="6"/>
  <c r="T61" i="6" s="1"/>
  <c r="U61" i="6" s="1"/>
  <c r="D61" i="6"/>
  <c r="S60" i="6"/>
  <c r="D60" i="6"/>
  <c r="S59" i="6"/>
  <c r="T59" i="6" s="1"/>
  <c r="U59" i="6" s="1"/>
  <c r="D59" i="6"/>
  <c r="S58" i="6"/>
  <c r="T58" i="6" s="1"/>
  <c r="U58" i="6" s="1"/>
  <c r="D58" i="6"/>
  <c r="S57" i="6"/>
  <c r="D57" i="6"/>
  <c r="S56" i="6"/>
  <c r="D56" i="6"/>
  <c r="S55" i="6"/>
  <c r="T55" i="6" s="1"/>
  <c r="U55" i="6" s="1"/>
  <c r="D55" i="6"/>
  <c r="T54" i="6"/>
  <c r="U54" i="6" s="1"/>
  <c r="S54" i="6"/>
  <c r="D54" i="6"/>
  <c r="S53" i="6"/>
  <c r="T53" i="6" s="1"/>
  <c r="U53" i="6" s="1"/>
  <c r="D53" i="6"/>
  <c r="S52" i="6"/>
  <c r="D52" i="6"/>
  <c r="S51" i="6"/>
  <c r="T51" i="6" s="1"/>
  <c r="U51" i="6" s="1"/>
  <c r="D51" i="6"/>
  <c r="S50" i="6"/>
  <c r="D50" i="6"/>
  <c r="S49" i="6"/>
  <c r="T49" i="6" s="1"/>
  <c r="U49" i="6" s="1"/>
  <c r="D49" i="6"/>
  <c r="S48" i="6"/>
  <c r="T48" i="6" s="1"/>
  <c r="U48" i="6" s="1"/>
  <c r="D48" i="6"/>
  <c r="T47" i="6"/>
  <c r="U47" i="6" s="1"/>
  <c r="S47" i="6"/>
  <c r="D47" i="6"/>
  <c r="S46" i="6"/>
  <c r="T46" i="6" s="1"/>
  <c r="U46" i="6" s="1"/>
  <c r="D46" i="6"/>
  <c r="S45" i="6"/>
  <c r="T45" i="6" s="1"/>
  <c r="U45" i="6" s="1"/>
  <c r="D45" i="6"/>
  <c r="T44" i="6"/>
  <c r="U44" i="6" s="1"/>
  <c r="S44" i="6"/>
  <c r="D44" i="6"/>
  <c r="S43" i="6"/>
  <c r="T43" i="6" s="1"/>
  <c r="U43" i="6" s="1"/>
  <c r="D43" i="6"/>
  <c r="S42" i="6"/>
  <c r="D42" i="6"/>
  <c r="S41" i="6"/>
  <c r="T41" i="6" s="1"/>
  <c r="U41" i="6" s="1"/>
  <c r="D41" i="6"/>
  <c r="S40" i="6"/>
  <c r="D40" i="6"/>
  <c r="S39" i="6"/>
  <c r="T39" i="6" s="1"/>
  <c r="U39" i="6" s="1"/>
  <c r="D39" i="6"/>
  <c r="S38" i="6"/>
  <c r="T38" i="6" s="1"/>
  <c r="U38" i="6" s="1"/>
  <c r="D38" i="6"/>
  <c r="T37" i="6"/>
  <c r="U37" i="6" s="1"/>
  <c r="S37" i="6"/>
  <c r="D37" i="6"/>
  <c r="S36" i="6"/>
  <c r="T36" i="6" s="1"/>
  <c r="U36" i="6" s="1"/>
  <c r="D36" i="6"/>
  <c r="S35" i="6"/>
  <c r="T35" i="6" s="1"/>
  <c r="U35" i="6" s="1"/>
  <c r="D35" i="6"/>
  <c r="T34" i="6"/>
  <c r="U34" i="6" s="1"/>
  <c r="S34" i="6"/>
  <c r="D34" i="6"/>
  <c r="S33" i="6"/>
  <c r="T33" i="6" s="1"/>
  <c r="U33" i="6" s="1"/>
  <c r="D33" i="6"/>
  <c r="S32" i="6"/>
  <c r="D32" i="6"/>
  <c r="S31" i="6"/>
  <c r="T31" i="6" s="1"/>
  <c r="U31" i="6" s="1"/>
  <c r="D31" i="6"/>
  <c r="S30" i="6"/>
  <c r="D30" i="6"/>
  <c r="S29" i="6"/>
  <c r="T29" i="6" s="1"/>
  <c r="U29" i="6" s="1"/>
  <c r="D29" i="6"/>
  <c r="S28" i="6"/>
  <c r="T28" i="6" s="1"/>
  <c r="U28" i="6" s="1"/>
  <c r="D28" i="6"/>
  <c r="T27" i="6"/>
  <c r="U27" i="6" s="1"/>
  <c r="S27" i="6"/>
  <c r="D27" i="6"/>
  <c r="S26" i="6"/>
  <c r="T26" i="6" s="1"/>
  <c r="U26" i="6" s="1"/>
  <c r="D26" i="6"/>
  <c r="S25" i="6"/>
  <c r="T25" i="6" s="1"/>
  <c r="U25" i="6" s="1"/>
  <c r="D25" i="6"/>
  <c r="T24" i="6"/>
  <c r="U24" i="6" s="1"/>
  <c r="S24" i="6"/>
  <c r="D24" i="6"/>
  <c r="S23" i="6"/>
  <c r="T23" i="6" s="1"/>
  <c r="U23" i="6" s="1"/>
  <c r="D23" i="6"/>
  <c r="S22" i="6"/>
  <c r="D22" i="6"/>
  <c r="S21" i="6"/>
  <c r="T21" i="6" s="1"/>
  <c r="U21" i="6" s="1"/>
  <c r="D21" i="6"/>
  <c r="S20" i="6"/>
  <c r="D20" i="6"/>
  <c r="S19" i="6"/>
  <c r="T19" i="6" s="1"/>
  <c r="U19" i="6" s="1"/>
  <c r="D19" i="6"/>
  <c r="S18" i="6"/>
  <c r="T18" i="6" s="1"/>
  <c r="U18" i="6" s="1"/>
  <c r="D18" i="6"/>
  <c r="T17" i="6"/>
  <c r="U17" i="6" s="1"/>
  <c r="S17" i="6"/>
  <c r="D17" i="6"/>
  <c r="S16" i="6"/>
  <c r="D16" i="6"/>
  <c r="S15" i="6"/>
  <c r="T15" i="6" s="1"/>
  <c r="U15" i="6" s="1"/>
  <c r="D15" i="6"/>
  <c r="T14" i="6"/>
  <c r="U14" i="6" s="1"/>
  <c r="S14" i="6"/>
  <c r="D14" i="6"/>
  <c r="S13" i="6"/>
  <c r="T13" i="6" s="1"/>
  <c r="U13" i="6" s="1"/>
  <c r="D13" i="6"/>
  <c r="S12" i="6"/>
  <c r="D12" i="6"/>
  <c r="S11" i="6"/>
  <c r="T11" i="6" s="1"/>
  <c r="U11" i="6" s="1"/>
  <c r="D11" i="6"/>
  <c r="S10" i="6"/>
  <c r="D10" i="6"/>
  <c r="S9" i="6"/>
  <c r="T9" i="6" s="1"/>
  <c r="U9" i="6" s="1"/>
  <c r="D9" i="6"/>
  <c r="S8" i="6"/>
  <c r="T8" i="6" s="1"/>
  <c r="U8" i="6" s="1"/>
  <c r="D8" i="6"/>
  <c r="T7" i="6"/>
  <c r="U7" i="6" s="1"/>
  <c r="S7" i="6"/>
  <c r="D7" i="6"/>
  <c r="S6" i="6"/>
  <c r="D6" i="6"/>
  <c r="S5" i="6"/>
  <c r="T5" i="6" s="1"/>
  <c r="U5" i="6" s="1"/>
  <c r="D5" i="6"/>
  <c r="T4" i="6"/>
  <c r="U4" i="6" s="1"/>
  <c r="S4" i="6"/>
  <c r="T22" i="6" s="1"/>
  <c r="U22" i="6" s="1"/>
  <c r="D4" i="6"/>
  <c r="S3" i="6"/>
  <c r="T3" i="6" s="1"/>
  <c r="U3" i="6" s="1"/>
  <c r="D3" i="6"/>
  <c r="S2" i="6"/>
  <c r="T40" i="6" s="1"/>
  <c r="U40" i="6" s="1"/>
  <c r="D2" i="6"/>
  <c r="S30" i="5"/>
  <c r="D30" i="5"/>
  <c r="S29" i="5"/>
  <c r="D29" i="5"/>
  <c r="S28" i="5"/>
  <c r="D28" i="5"/>
  <c r="S27" i="5"/>
  <c r="D27" i="5"/>
  <c r="S26" i="5"/>
  <c r="D26" i="5"/>
  <c r="S25" i="5"/>
  <c r="D25" i="5"/>
  <c r="S24" i="5"/>
  <c r="D24" i="5"/>
  <c r="S23" i="5"/>
  <c r="D23" i="5"/>
  <c r="S22" i="5"/>
  <c r="D22" i="5"/>
  <c r="S21" i="5"/>
  <c r="D21" i="5"/>
  <c r="S20" i="5"/>
  <c r="T20" i="5" s="1"/>
  <c r="U20" i="5" s="1"/>
  <c r="D20" i="5"/>
  <c r="S19" i="5"/>
  <c r="D19" i="5"/>
  <c r="S18" i="5"/>
  <c r="D18" i="5"/>
  <c r="S17" i="5"/>
  <c r="D17" i="5"/>
  <c r="S16" i="5"/>
  <c r="D16" i="5"/>
  <c r="S15" i="5"/>
  <c r="D15" i="5"/>
  <c r="S14" i="5"/>
  <c r="D14" i="5"/>
  <c r="S13" i="5"/>
  <c r="D13" i="5"/>
  <c r="S12" i="5"/>
  <c r="D12" i="5"/>
  <c r="S11" i="5"/>
  <c r="D11" i="5"/>
  <c r="S10" i="5"/>
  <c r="D10" i="5"/>
  <c r="S9" i="5"/>
  <c r="D9" i="5"/>
  <c r="S8" i="5"/>
  <c r="D8" i="5"/>
  <c r="S7" i="5"/>
  <c r="D7" i="5"/>
  <c r="S6" i="5"/>
  <c r="D6" i="5"/>
  <c r="S5" i="5"/>
  <c r="D5" i="5"/>
  <c r="S4" i="5"/>
  <c r="D4" i="5"/>
  <c r="S3" i="5"/>
  <c r="D3" i="5"/>
  <c r="S2" i="5"/>
  <c r="D2" i="5"/>
  <c r="S65" i="4"/>
  <c r="D65" i="4"/>
  <c r="S64" i="4"/>
  <c r="D64" i="4"/>
  <c r="S63" i="4"/>
  <c r="D63" i="4"/>
  <c r="S62" i="4"/>
  <c r="D62" i="4"/>
  <c r="S61" i="4"/>
  <c r="D61" i="4"/>
  <c r="S60" i="4"/>
  <c r="D60" i="4"/>
  <c r="T59" i="4"/>
  <c r="U59" i="4" s="1"/>
  <c r="S59" i="4"/>
  <c r="D59" i="4"/>
  <c r="S58" i="4"/>
  <c r="T58" i="4" s="1"/>
  <c r="U58" i="4" s="1"/>
  <c r="D58" i="4"/>
  <c r="S57" i="4"/>
  <c r="T57" i="4" s="1"/>
  <c r="U57" i="4" s="1"/>
  <c r="D57" i="4"/>
  <c r="S56" i="4"/>
  <c r="D56" i="4"/>
  <c r="S55" i="4"/>
  <c r="D55" i="4"/>
  <c r="S54" i="4"/>
  <c r="D54" i="4"/>
  <c r="S53" i="4"/>
  <c r="D53" i="4"/>
  <c r="S52" i="4"/>
  <c r="D52" i="4"/>
  <c r="S51" i="4"/>
  <c r="D51" i="4"/>
  <c r="S50" i="4"/>
  <c r="T50" i="4" s="1"/>
  <c r="U50" i="4" s="1"/>
  <c r="D50" i="4"/>
  <c r="T49" i="4"/>
  <c r="U49" i="4" s="1"/>
  <c r="S49" i="4"/>
  <c r="D49" i="4"/>
  <c r="S48" i="4"/>
  <c r="D48" i="4"/>
  <c r="S47" i="4"/>
  <c r="D47" i="4"/>
  <c r="S46" i="4"/>
  <c r="D46" i="4"/>
  <c r="S45" i="4"/>
  <c r="D45" i="4"/>
  <c r="S44" i="4"/>
  <c r="D44" i="4"/>
  <c r="S43" i="4"/>
  <c r="D43" i="4"/>
  <c r="S42" i="4"/>
  <c r="D42" i="4"/>
  <c r="S41" i="4"/>
  <c r="D41" i="4"/>
  <c r="S40" i="4"/>
  <c r="T40" i="4" s="1"/>
  <c r="U40" i="4" s="1"/>
  <c r="D40" i="4"/>
  <c r="S39" i="4"/>
  <c r="D39" i="4"/>
  <c r="S38" i="4"/>
  <c r="D38" i="4"/>
  <c r="S37" i="4"/>
  <c r="D37" i="4"/>
  <c r="S36" i="4"/>
  <c r="D36" i="4"/>
  <c r="S35" i="4"/>
  <c r="D35" i="4"/>
  <c r="S34" i="4"/>
  <c r="D34" i="4"/>
  <c r="S33" i="4"/>
  <c r="D33" i="4"/>
  <c r="S32" i="4"/>
  <c r="D32" i="4"/>
  <c r="S31" i="4"/>
  <c r="D31" i="4"/>
  <c r="S30" i="4"/>
  <c r="D30" i="4"/>
  <c r="S29" i="4"/>
  <c r="D29" i="4"/>
  <c r="S28" i="4"/>
  <c r="D28" i="4"/>
  <c r="S27" i="4"/>
  <c r="D27" i="4"/>
  <c r="S26" i="4"/>
  <c r="D26" i="4"/>
  <c r="S25" i="4"/>
  <c r="D25" i="4"/>
  <c r="S24" i="4"/>
  <c r="T24" i="4" s="1"/>
  <c r="U24" i="4" s="1"/>
  <c r="D24" i="4"/>
  <c r="S23" i="4"/>
  <c r="T23" i="4" s="1"/>
  <c r="U23" i="4" s="1"/>
  <c r="D23" i="4"/>
  <c r="S22" i="4"/>
  <c r="D22" i="4"/>
  <c r="S21" i="4"/>
  <c r="D21" i="4"/>
  <c r="S20" i="4"/>
  <c r="D20" i="4"/>
  <c r="S19" i="4"/>
  <c r="D19" i="4"/>
  <c r="S18" i="4"/>
  <c r="D18" i="4"/>
  <c r="S17" i="4"/>
  <c r="D17" i="4"/>
  <c r="S16" i="4"/>
  <c r="T16" i="4" s="1"/>
  <c r="U16" i="4" s="1"/>
  <c r="D16" i="4"/>
  <c r="S15" i="4"/>
  <c r="T15" i="4" s="1"/>
  <c r="U15" i="4" s="1"/>
  <c r="D15" i="4"/>
  <c r="S14" i="4"/>
  <c r="D14" i="4"/>
  <c r="S13" i="4"/>
  <c r="D13" i="4"/>
  <c r="S12" i="4"/>
  <c r="D12" i="4"/>
  <c r="S11" i="4"/>
  <c r="D11" i="4"/>
  <c r="S10" i="4"/>
  <c r="D10" i="4"/>
  <c r="T9" i="4"/>
  <c r="U9" i="4" s="1"/>
  <c r="S9" i="4"/>
  <c r="D9" i="4"/>
  <c r="S8" i="4"/>
  <c r="T8" i="4" s="1"/>
  <c r="U8" i="4" s="1"/>
  <c r="D8" i="4"/>
  <c r="S7" i="4"/>
  <c r="T7" i="4" s="1"/>
  <c r="U7" i="4" s="1"/>
  <c r="D7" i="4"/>
  <c r="S6" i="4"/>
  <c r="D6" i="4"/>
  <c r="S5" i="4"/>
  <c r="D5" i="4"/>
  <c r="S4" i="4"/>
  <c r="D4" i="4"/>
  <c r="S3" i="4"/>
  <c r="D3" i="4"/>
  <c r="S2" i="4"/>
  <c r="D2" i="4"/>
  <c r="S90" i="3"/>
  <c r="T90" i="3" s="1"/>
  <c r="U90" i="3" s="1"/>
  <c r="D90" i="3"/>
  <c r="S89" i="3"/>
  <c r="T89" i="3" s="1"/>
  <c r="U89" i="3" s="1"/>
  <c r="D89" i="3"/>
  <c r="S88" i="3"/>
  <c r="T88" i="3" s="1"/>
  <c r="U88" i="3" s="1"/>
  <c r="D88" i="3"/>
  <c r="S87" i="3"/>
  <c r="T87" i="3" s="1"/>
  <c r="U87" i="3" s="1"/>
  <c r="D87" i="3"/>
  <c r="S86" i="3"/>
  <c r="T86" i="3" s="1"/>
  <c r="U86" i="3" s="1"/>
  <c r="D86" i="3"/>
  <c r="S85" i="3"/>
  <c r="D85" i="3"/>
  <c r="S84" i="3"/>
  <c r="D84" i="3"/>
  <c r="S83" i="3"/>
  <c r="T83" i="3" s="1"/>
  <c r="U83" i="3" s="1"/>
  <c r="D83" i="3"/>
  <c r="S82" i="3"/>
  <c r="T82" i="3" s="1"/>
  <c r="U82" i="3" s="1"/>
  <c r="D82" i="3"/>
  <c r="S81" i="3"/>
  <c r="T81" i="3" s="1"/>
  <c r="U81" i="3" s="1"/>
  <c r="D81" i="3"/>
  <c r="S80" i="3"/>
  <c r="T80" i="3" s="1"/>
  <c r="U80" i="3" s="1"/>
  <c r="D80" i="3"/>
  <c r="S79" i="3"/>
  <c r="T79" i="3" s="1"/>
  <c r="U79" i="3" s="1"/>
  <c r="D79" i="3"/>
  <c r="S78" i="3"/>
  <c r="T78" i="3" s="1"/>
  <c r="U78" i="3" s="1"/>
  <c r="D78" i="3"/>
  <c r="S77" i="3"/>
  <c r="T77" i="3" s="1"/>
  <c r="U77" i="3" s="1"/>
  <c r="D77" i="3"/>
  <c r="S76" i="3"/>
  <c r="T76" i="3" s="1"/>
  <c r="U76" i="3" s="1"/>
  <c r="D76" i="3"/>
  <c r="S75" i="3"/>
  <c r="D75" i="3"/>
  <c r="T74" i="3"/>
  <c r="U74" i="3" s="1"/>
  <c r="S74" i="3"/>
  <c r="D74" i="3"/>
  <c r="S73" i="3"/>
  <c r="T73" i="3" s="1"/>
  <c r="U73" i="3" s="1"/>
  <c r="D73" i="3"/>
  <c r="S72" i="3"/>
  <c r="T72" i="3" s="1"/>
  <c r="U72" i="3" s="1"/>
  <c r="D72" i="3"/>
  <c r="S71" i="3"/>
  <c r="D71" i="3"/>
  <c r="S70" i="3"/>
  <c r="T70" i="3" s="1"/>
  <c r="U70" i="3" s="1"/>
  <c r="D70" i="3"/>
  <c r="S69" i="3"/>
  <c r="T69" i="3" s="1"/>
  <c r="U69" i="3" s="1"/>
  <c r="D69" i="3"/>
  <c r="S68" i="3"/>
  <c r="T68" i="3" s="1"/>
  <c r="U68" i="3" s="1"/>
  <c r="D68" i="3"/>
  <c r="S67" i="3"/>
  <c r="D67" i="3"/>
  <c r="S66" i="3"/>
  <c r="T66" i="3" s="1"/>
  <c r="U66" i="3" s="1"/>
  <c r="D66" i="3"/>
  <c r="S65" i="3"/>
  <c r="T65" i="3" s="1"/>
  <c r="U65" i="3" s="1"/>
  <c r="D65" i="3"/>
  <c r="S64" i="3"/>
  <c r="D64" i="3"/>
  <c r="S63" i="3"/>
  <c r="T63" i="3" s="1"/>
  <c r="U63" i="3" s="1"/>
  <c r="D63" i="3"/>
  <c r="S62" i="3"/>
  <c r="T62" i="3" s="1"/>
  <c r="U62" i="3" s="1"/>
  <c r="D62" i="3"/>
  <c r="S61" i="3"/>
  <c r="D61" i="3"/>
  <c r="S60" i="3"/>
  <c r="T60" i="3" s="1"/>
  <c r="U60" i="3" s="1"/>
  <c r="D60" i="3"/>
  <c r="S59" i="3"/>
  <c r="T59" i="3" s="1"/>
  <c r="U59" i="3" s="1"/>
  <c r="D59" i="3"/>
  <c r="S58" i="3"/>
  <c r="T58" i="3" s="1"/>
  <c r="U58" i="3" s="1"/>
  <c r="D58" i="3"/>
  <c r="S57" i="3"/>
  <c r="D57" i="3"/>
  <c r="S56" i="3"/>
  <c r="T56" i="3" s="1"/>
  <c r="U56" i="3" s="1"/>
  <c r="D56" i="3"/>
  <c r="S55" i="3"/>
  <c r="T55" i="3" s="1"/>
  <c r="U55" i="3" s="1"/>
  <c r="D55" i="3"/>
  <c r="S54" i="3"/>
  <c r="D54" i="3"/>
  <c r="S53" i="3"/>
  <c r="T53" i="3" s="1"/>
  <c r="U53" i="3" s="1"/>
  <c r="D53" i="3"/>
  <c r="S52" i="3"/>
  <c r="T52" i="3" s="1"/>
  <c r="U52" i="3" s="1"/>
  <c r="D52" i="3"/>
  <c r="S51" i="3"/>
  <c r="D51" i="3"/>
  <c r="S50" i="3"/>
  <c r="T50" i="3" s="1"/>
  <c r="U50" i="3" s="1"/>
  <c r="D50" i="3"/>
  <c r="S49" i="3"/>
  <c r="T49" i="3" s="1"/>
  <c r="U49" i="3" s="1"/>
  <c r="D49" i="3"/>
  <c r="S48" i="3"/>
  <c r="T48" i="3" s="1"/>
  <c r="U48" i="3" s="1"/>
  <c r="D48" i="3"/>
  <c r="S47" i="3"/>
  <c r="D47" i="3"/>
  <c r="S46" i="3"/>
  <c r="T46" i="3" s="1"/>
  <c r="U46" i="3" s="1"/>
  <c r="D46" i="3"/>
  <c r="S45" i="3"/>
  <c r="T45" i="3" s="1"/>
  <c r="U45" i="3" s="1"/>
  <c r="D45" i="3"/>
  <c r="S44" i="3"/>
  <c r="D44" i="3"/>
  <c r="S43" i="3"/>
  <c r="T43" i="3" s="1"/>
  <c r="U43" i="3" s="1"/>
  <c r="D43" i="3"/>
  <c r="S42" i="3"/>
  <c r="T42" i="3" s="1"/>
  <c r="U42" i="3" s="1"/>
  <c r="D42" i="3"/>
  <c r="S41" i="3"/>
  <c r="D41" i="3"/>
  <c r="S40" i="3"/>
  <c r="T40" i="3" s="1"/>
  <c r="U40" i="3" s="1"/>
  <c r="D40" i="3"/>
  <c r="S39" i="3"/>
  <c r="T39" i="3" s="1"/>
  <c r="U39" i="3" s="1"/>
  <c r="D39" i="3"/>
  <c r="T38" i="3"/>
  <c r="U38" i="3" s="1"/>
  <c r="S38" i="3"/>
  <c r="D38" i="3"/>
  <c r="S37" i="3"/>
  <c r="D37" i="3"/>
  <c r="S36" i="3"/>
  <c r="T36" i="3" s="1"/>
  <c r="U36" i="3" s="1"/>
  <c r="D36" i="3"/>
  <c r="S35" i="3"/>
  <c r="T35" i="3" s="1"/>
  <c r="U35" i="3" s="1"/>
  <c r="D35" i="3"/>
  <c r="S34" i="3"/>
  <c r="D34" i="3"/>
  <c r="S33" i="3"/>
  <c r="T33" i="3" s="1"/>
  <c r="U33" i="3" s="1"/>
  <c r="D33" i="3"/>
  <c r="S32" i="3"/>
  <c r="T32" i="3" s="1"/>
  <c r="U32" i="3" s="1"/>
  <c r="D32" i="3"/>
  <c r="S31" i="3"/>
  <c r="D31" i="3"/>
  <c r="S30" i="3"/>
  <c r="T30" i="3" s="1"/>
  <c r="U30" i="3" s="1"/>
  <c r="D30" i="3"/>
  <c r="S29" i="3"/>
  <c r="T29" i="3" s="1"/>
  <c r="U29" i="3" s="1"/>
  <c r="D29" i="3"/>
  <c r="S28" i="3"/>
  <c r="T28" i="3" s="1"/>
  <c r="U28" i="3" s="1"/>
  <c r="D28" i="3"/>
  <c r="S27" i="3"/>
  <c r="D27" i="3"/>
  <c r="S26" i="3"/>
  <c r="T26" i="3" s="1"/>
  <c r="U26" i="3" s="1"/>
  <c r="D26" i="3"/>
  <c r="S25" i="3"/>
  <c r="T25" i="3" s="1"/>
  <c r="U25" i="3" s="1"/>
  <c r="D25" i="3"/>
  <c r="S24" i="3"/>
  <c r="D24" i="3"/>
  <c r="S23" i="3"/>
  <c r="T23" i="3" s="1"/>
  <c r="U23" i="3" s="1"/>
  <c r="D23" i="3"/>
  <c r="S22" i="3"/>
  <c r="T22" i="3" s="1"/>
  <c r="U22" i="3" s="1"/>
  <c r="D22" i="3"/>
  <c r="S21" i="3"/>
  <c r="D21" i="3"/>
  <c r="S20" i="3"/>
  <c r="T20" i="3" s="1"/>
  <c r="U20" i="3" s="1"/>
  <c r="D20" i="3"/>
  <c r="S19" i="3"/>
  <c r="T19" i="3" s="1"/>
  <c r="U19" i="3" s="1"/>
  <c r="D19" i="3"/>
  <c r="S18" i="3"/>
  <c r="T18" i="3" s="1"/>
  <c r="U18" i="3" s="1"/>
  <c r="D18" i="3"/>
  <c r="S17" i="3"/>
  <c r="D17" i="3"/>
  <c r="S16" i="3"/>
  <c r="T16" i="3" s="1"/>
  <c r="U16" i="3" s="1"/>
  <c r="D16" i="3"/>
  <c r="S15" i="3"/>
  <c r="T15" i="3" s="1"/>
  <c r="U15" i="3" s="1"/>
  <c r="D15" i="3"/>
  <c r="S14" i="3"/>
  <c r="D14" i="3"/>
  <c r="S13" i="3"/>
  <c r="T13" i="3" s="1"/>
  <c r="U13" i="3" s="1"/>
  <c r="D13" i="3"/>
  <c r="S12" i="3"/>
  <c r="T12" i="3" s="1"/>
  <c r="U12" i="3" s="1"/>
  <c r="D12" i="3"/>
  <c r="S11" i="3"/>
  <c r="D11" i="3"/>
  <c r="S10" i="3"/>
  <c r="T10" i="3" s="1"/>
  <c r="U10" i="3" s="1"/>
  <c r="D10" i="3"/>
  <c r="S9" i="3"/>
  <c r="T9" i="3" s="1"/>
  <c r="U9" i="3" s="1"/>
  <c r="D9" i="3"/>
  <c r="S8" i="3"/>
  <c r="T8" i="3" s="1"/>
  <c r="U8" i="3" s="1"/>
  <c r="D8" i="3"/>
  <c r="S7" i="3"/>
  <c r="D7" i="3"/>
  <c r="S6" i="3"/>
  <c r="T6" i="3" s="1"/>
  <c r="U6" i="3" s="1"/>
  <c r="D6" i="3"/>
  <c r="S5" i="3"/>
  <c r="T5" i="3" s="1"/>
  <c r="U5" i="3" s="1"/>
  <c r="D5" i="3"/>
  <c r="S4" i="3"/>
  <c r="D4" i="3"/>
  <c r="S3" i="3"/>
  <c r="T3" i="3" s="1"/>
  <c r="U3" i="3" s="1"/>
  <c r="D3" i="3"/>
  <c r="S2" i="3"/>
  <c r="T67" i="3" s="1"/>
  <c r="U67" i="3" s="1"/>
  <c r="D2" i="3"/>
  <c r="S30" i="2"/>
  <c r="T30" i="2" s="1"/>
  <c r="U30" i="2" s="1"/>
  <c r="D30" i="2"/>
  <c r="T29" i="2"/>
  <c r="U29" i="2" s="1"/>
  <c r="S29" i="2"/>
  <c r="D29" i="2"/>
  <c r="S28" i="2"/>
  <c r="T28" i="2" s="1"/>
  <c r="U28" i="2" s="1"/>
  <c r="D28" i="2"/>
  <c r="S27" i="2"/>
  <c r="T27" i="2" s="1"/>
  <c r="U27" i="2" s="1"/>
  <c r="D27" i="2"/>
  <c r="S26" i="2"/>
  <c r="T26" i="2" s="1"/>
  <c r="U26" i="2" s="1"/>
  <c r="D26" i="2"/>
  <c r="S25" i="2"/>
  <c r="T25" i="2" s="1"/>
  <c r="U25" i="2" s="1"/>
  <c r="D25" i="2"/>
  <c r="S24" i="2"/>
  <c r="D24" i="2"/>
  <c r="S23" i="2"/>
  <c r="T23" i="2" s="1"/>
  <c r="U23" i="2" s="1"/>
  <c r="D23" i="2"/>
  <c r="S22" i="2"/>
  <c r="T22" i="2" s="1"/>
  <c r="U22" i="2" s="1"/>
  <c r="D22" i="2"/>
  <c r="S21" i="2"/>
  <c r="T21" i="2" s="1"/>
  <c r="U21" i="2" s="1"/>
  <c r="D21" i="2"/>
  <c r="S20" i="2"/>
  <c r="T20" i="2" s="1"/>
  <c r="U20" i="2" s="1"/>
  <c r="D20" i="2"/>
  <c r="T19" i="2"/>
  <c r="U19" i="2" s="1"/>
  <c r="S19" i="2"/>
  <c r="D19" i="2"/>
  <c r="S18" i="2"/>
  <c r="T18" i="2" s="1"/>
  <c r="U18" i="2" s="1"/>
  <c r="D18" i="2"/>
  <c r="S17" i="2"/>
  <c r="T17" i="2" s="1"/>
  <c r="U17" i="2" s="1"/>
  <c r="D17" i="2"/>
  <c r="S16" i="2"/>
  <c r="T16" i="2" s="1"/>
  <c r="U16" i="2" s="1"/>
  <c r="D16" i="2"/>
  <c r="S15" i="2"/>
  <c r="T15" i="2" s="1"/>
  <c r="U15" i="2" s="1"/>
  <c r="D15" i="2"/>
  <c r="S14" i="2"/>
  <c r="D14" i="2"/>
  <c r="S13" i="2"/>
  <c r="T13" i="2" s="1"/>
  <c r="U13" i="2" s="1"/>
  <c r="D13" i="2"/>
  <c r="S12" i="2"/>
  <c r="T12" i="2" s="1"/>
  <c r="U12" i="2" s="1"/>
  <c r="D12" i="2"/>
  <c r="S11" i="2"/>
  <c r="T11" i="2" s="1"/>
  <c r="U11" i="2" s="1"/>
  <c r="D11" i="2"/>
  <c r="S10" i="2"/>
  <c r="T10" i="2" s="1"/>
  <c r="U10" i="2" s="1"/>
  <c r="D10" i="2"/>
  <c r="T9" i="2"/>
  <c r="U9" i="2" s="1"/>
  <c r="S9" i="2"/>
  <c r="D9" i="2"/>
  <c r="S8" i="2"/>
  <c r="T8" i="2" s="1"/>
  <c r="U8" i="2" s="1"/>
  <c r="D8" i="2"/>
  <c r="S7" i="2"/>
  <c r="T7" i="2" s="1"/>
  <c r="U7" i="2" s="1"/>
  <c r="D7" i="2"/>
  <c r="S6" i="2"/>
  <c r="T6" i="2" s="1"/>
  <c r="U6" i="2" s="1"/>
  <c r="D6" i="2"/>
  <c r="S5" i="2"/>
  <c r="T5" i="2" s="1"/>
  <c r="U5" i="2" s="1"/>
  <c r="D5" i="2"/>
  <c r="S4" i="2"/>
  <c r="D4" i="2"/>
  <c r="S3" i="2"/>
  <c r="T3" i="2" s="1"/>
  <c r="U3" i="2" s="1"/>
  <c r="D3" i="2"/>
  <c r="S2" i="2"/>
  <c r="T2" i="2" s="1"/>
  <c r="U2" i="2" s="1"/>
  <c r="D2" i="2"/>
  <c r="S96" i="1"/>
  <c r="T96" i="1" s="1"/>
  <c r="U96" i="1" s="1"/>
  <c r="D96" i="1"/>
  <c r="S95" i="1"/>
  <c r="D95" i="1"/>
  <c r="S94" i="1"/>
  <c r="T94" i="1" s="1"/>
  <c r="U94" i="1" s="1"/>
  <c r="D94" i="1"/>
  <c r="S93" i="1"/>
  <c r="D93" i="1"/>
  <c r="S92" i="1"/>
  <c r="D92" i="1"/>
  <c r="T91" i="1"/>
  <c r="U91" i="1" s="1"/>
  <c r="S91" i="1"/>
  <c r="D91" i="1"/>
  <c r="S90" i="1"/>
  <c r="D90" i="1"/>
  <c r="S89" i="1"/>
  <c r="T89" i="1" s="1"/>
  <c r="U89" i="1" s="1"/>
  <c r="D89" i="1"/>
  <c r="S88" i="1"/>
  <c r="T12" i="1" s="1"/>
  <c r="U12" i="1" s="1"/>
  <c r="D88" i="1"/>
  <c r="S87" i="1"/>
  <c r="D87" i="1"/>
  <c r="S86" i="1"/>
  <c r="D86" i="1"/>
  <c r="S85" i="1"/>
  <c r="D85" i="1"/>
  <c r="S84" i="1"/>
  <c r="T84" i="1" s="1"/>
  <c r="U84" i="1" s="1"/>
  <c r="D84" i="1"/>
  <c r="S83" i="1"/>
  <c r="D83" i="1"/>
  <c r="S82" i="1"/>
  <c r="D82" i="1"/>
  <c r="T81" i="1"/>
  <c r="U81" i="1" s="1"/>
  <c r="S81" i="1"/>
  <c r="D81" i="1"/>
  <c r="S80" i="1"/>
  <c r="D80" i="1"/>
  <c r="S79" i="1"/>
  <c r="T79" i="1" s="1"/>
  <c r="U79" i="1" s="1"/>
  <c r="D79" i="1"/>
  <c r="S78" i="1"/>
  <c r="T78" i="1" s="1"/>
  <c r="U78" i="1" s="1"/>
  <c r="D78" i="1"/>
  <c r="S77" i="1"/>
  <c r="D77" i="1"/>
  <c r="S76" i="1"/>
  <c r="D76" i="1"/>
  <c r="S75" i="1"/>
  <c r="D75" i="1"/>
  <c r="S74" i="1"/>
  <c r="T74" i="1" s="1"/>
  <c r="U74" i="1" s="1"/>
  <c r="D74" i="1"/>
  <c r="S73" i="1"/>
  <c r="D73" i="1"/>
  <c r="S72" i="1"/>
  <c r="D72" i="1"/>
  <c r="T71" i="1"/>
  <c r="U71" i="1" s="1"/>
  <c r="S71" i="1"/>
  <c r="D71" i="1"/>
  <c r="S70" i="1"/>
  <c r="D70" i="1"/>
  <c r="S69" i="1"/>
  <c r="T69" i="1" s="1"/>
  <c r="U69" i="1" s="1"/>
  <c r="D69" i="1"/>
  <c r="S68" i="1"/>
  <c r="T68" i="1" s="1"/>
  <c r="U68" i="1" s="1"/>
  <c r="D68" i="1"/>
  <c r="S67" i="1"/>
  <c r="D67" i="1"/>
  <c r="S66" i="1"/>
  <c r="D66" i="1"/>
  <c r="S65" i="1"/>
  <c r="D65" i="1"/>
  <c r="S64" i="1"/>
  <c r="T64" i="1" s="1"/>
  <c r="U64" i="1" s="1"/>
  <c r="D64" i="1"/>
  <c r="S63" i="1"/>
  <c r="D63" i="1"/>
  <c r="S62" i="1"/>
  <c r="D62" i="1"/>
  <c r="T61" i="1"/>
  <c r="U61" i="1" s="1"/>
  <c r="S61" i="1"/>
  <c r="D61" i="1"/>
  <c r="S60" i="1"/>
  <c r="D60" i="1"/>
  <c r="S59" i="1"/>
  <c r="T59" i="1" s="1"/>
  <c r="U59" i="1" s="1"/>
  <c r="D59" i="1"/>
  <c r="S58" i="1"/>
  <c r="T58" i="1" s="1"/>
  <c r="U58" i="1" s="1"/>
  <c r="D58" i="1"/>
  <c r="S57" i="1"/>
  <c r="D57" i="1"/>
  <c r="S56" i="1"/>
  <c r="D56" i="1"/>
  <c r="S55" i="1"/>
  <c r="D55" i="1"/>
  <c r="S54" i="1"/>
  <c r="T54" i="1" s="1"/>
  <c r="U54" i="1" s="1"/>
  <c r="D54" i="1"/>
  <c r="S53" i="1"/>
  <c r="D53" i="1"/>
  <c r="S52" i="1"/>
  <c r="D52" i="1"/>
  <c r="T51" i="1"/>
  <c r="U51" i="1" s="1"/>
  <c r="S51" i="1"/>
  <c r="D51" i="1"/>
  <c r="S50" i="1"/>
  <c r="D50" i="1"/>
  <c r="S49" i="1"/>
  <c r="T49" i="1" s="1"/>
  <c r="U49" i="1" s="1"/>
  <c r="D49" i="1"/>
  <c r="S48" i="1"/>
  <c r="T48" i="1" s="1"/>
  <c r="U48" i="1" s="1"/>
  <c r="D48" i="1"/>
  <c r="S47" i="1"/>
  <c r="D47" i="1"/>
  <c r="S46" i="1"/>
  <c r="D46" i="1"/>
  <c r="S45" i="1"/>
  <c r="D45" i="1"/>
  <c r="S44" i="1"/>
  <c r="T44" i="1" s="1"/>
  <c r="U44" i="1" s="1"/>
  <c r="D44" i="1"/>
  <c r="S43" i="1"/>
  <c r="D43" i="1"/>
  <c r="S42" i="1"/>
  <c r="D42" i="1"/>
  <c r="T41" i="1"/>
  <c r="U41" i="1" s="1"/>
  <c r="S41" i="1"/>
  <c r="D41" i="1"/>
  <c r="S40" i="1"/>
  <c r="D40" i="1"/>
  <c r="S39" i="1"/>
  <c r="T39" i="1" s="1"/>
  <c r="U39" i="1" s="1"/>
  <c r="D39" i="1"/>
  <c r="S38" i="1"/>
  <c r="T38" i="1" s="1"/>
  <c r="U38" i="1" s="1"/>
  <c r="D38" i="1"/>
  <c r="S37" i="1"/>
  <c r="D37" i="1"/>
  <c r="S36" i="1"/>
  <c r="D36" i="1"/>
  <c r="S35" i="1"/>
  <c r="D35" i="1"/>
  <c r="S34" i="1"/>
  <c r="T34" i="1" s="1"/>
  <c r="U34" i="1" s="1"/>
  <c r="D34" i="1"/>
  <c r="S33" i="1"/>
  <c r="D33" i="1"/>
  <c r="S32" i="1"/>
  <c r="D32" i="1"/>
  <c r="T31" i="1"/>
  <c r="U31" i="1" s="1"/>
  <c r="S31" i="1"/>
  <c r="D31" i="1"/>
  <c r="S30" i="1"/>
  <c r="D30" i="1"/>
  <c r="S29" i="1"/>
  <c r="T29" i="1" s="1"/>
  <c r="U29" i="1" s="1"/>
  <c r="D29" i="1"/>
  <c r="S28" i="1"/>
  <c r="T28" i="1" s="1"/>
  <c r="U28" i="1" s="1"/>
  <c r="D28" i="1"/>
  <c r="S27" i="1"/>
  <c r="D27" i="1"/>
  <c r="S26" i="1"/>
  <c r="D26" i="1"/>
  <c r="S25" i="1"/>
  <c r="D25" i="1"/>
  <c r="S24" i="1"/>
  <c r="T24" i="1" s="1"/>
  <c r="U24" i="1" s="1"/>
  <c r="D24" i="1"/>
  <c r="S23" i="1"/>
  <c r="D23" i="1"/>
  <c r="S22" i="1"/>
  <c r="D22" i="1"/>
  <c r="T21" i="1"/>
  <c r="U21" i="1" s="1"/>
  <c r="S21" i="1"/>
  <c r="D21" i="1"/>
  <c r="S20" i="1"/>
  <c r="D20" i="1"/>
  <c r="S19" i="1"/>
  <c r="T19" i="1" s="1"/>
  <c r="U19" i="1" s="1"/>
  <c r="D19" i="1"/>
  <c r="S18" i="1"/>
  <c r="T18" i="1" s="1"/>
  <c r="U18" i="1" s="1"/>
  <c r="D18" i="1"/>
  <c r="S17" i="1"/>
  <c r="D17" i="1"/>
  <c r="S16" i="1"/>
  <c r="D16" i="1"/>
  <c r="S15" i="1"/>
  <c r="D15" i="1"/>
  <c r="S14" i="1"/>
  <c r="T14" i="1" s="1"/>
  <c r="U14" i="1" s="1"/>
  <c r="D14" i="1"/>
  <c r="S13" i="1"/>
  <c r="D13" i="1"/>
  <c r="S12" i="1"/>
  <c r="D12" i="1"/>
  <c r="T11" i="1"/>
  <c r="U11" i="1" s="1"/>
  <c r="S11" i="1"/>
  <c r="D11" i="1"/>
  <c r="S10" i="1"/>
  <c r="D10" i="1"/>
  <c r="S9" i="1"/>
  <c r="T9" i="1" s="1"/>
  <c r="U9" i="1" s="1"/>
  <c r="D9" i="1"/>
  <c r="S8" i="1"/>
  <c r="T93" i="1" s="1"/>
  <c r="U93" i="1" s="1"/>
  <c r="D8" i="1"/>
  <c r="S7" i="1"/>
  <c r="D7" i="1"/>
  <c r="S6" i="1"/>
  <c r="D6" i="1"/>
  <c r="S5" i="1"/>
  <c r="D5" i="1"/>
  <c r="S4" i="1"/>
  <c r="T4" i="1" s="1"/>
  <c r="U4" i="1" s="1"/>
  <c r="D4" i="1"/>
  <c r="S3" i="1"/>
  <c r="D3" i="1"/>
  <c r="S2" i="1"/>
  <c r="T86" i="1" s="1"/>
  <c r="U86" i="1" s="1"/>
  <c r="D2" i="1"/>
  <c r="T57" i="6" l="1"/>
  <c r="U57" i="6" s="1"/>
  <c r="T23" i="5"/>
  <c r="U23" i="5" s="1"/>
  <c r="T10" i="5"/>
  <c r="U10" i="5" s="1"/>
  <c r="T12" i="6"/>
  <c r="U12" i="6" s="1"/>
  <c r="T52" i="6"/>
  <c r="U52" i="6" s="1"/>
  <c r="T13" i="5"/>
  <c r="U13" i="5" s="1"/>
  <c r="T16" i="6"/>
  <c r="U16" i="6" s="1"/>
  <c r="T2" i="6"/>
  <c r="U2" i="6" s="1"/>
  <c r="W23" i="6" s="1"/>
  <c r="V23" i="6" s="1"/>
  <c r="T42" i="6"/>
  <c r="U42" i="6" s="1"/>
  <c r="T6" i="6"/>
  <c r="U6" i="6" s="1"/>
  <c r="W15" i="6" s="1"/>
  <c r="V15" i="6" s="1"/>
  <c r="T56" i="6"/>
  <c r="U56" i="6" s="1"/>
  <c r="W56" i="6" s="1"/>
  <c r="V56" i="6" s="1"/>
  <c r="T32" i="6"/>
  <c r="U32" i="6" s="1"/>
  <c r="T62" i="6"/>
  <c r="U62" i="6" s="1"/>
  <c r="T20" i="6"/>
  <c r="U20" i="6" s="1"/>
  <c r="T30" i="6"/>
  <c r="U30" i="6" s="1"/>
  <c r="T50" i="6"/>
  <c r="U50" i="6" s="1"/>
  <c r="T60" i="6"/>
  <c r="U60" i="6" s="1"/>
  <c r="T30" i="5"/>
  <c r="U30" i="5" s="1"/>
  <c r="T9" i="5"/>
  <c r="U9" i="5" s="1"/>
  <c r="T10" i="6"/>
  <c r="U10" i="6" s="1"/>
  <c r="T3" i="5"/>
  <c r="U3" i="5" s="1"/>
  <c r="T22" i="5"/>
  <c r="U22" i="5" s="1"/>
  <c r="T25" i="5"/>
  <c r="U25" i="5" s="1"/>
  <c r="T5" i="5"/>
  <c r="U5" i="5" s="1"/>
  <c r="T15" i="5"/>
  <c r="U15" i="5" s="1"/>
  <c r="T21" i="5"/>
  <c r="U21" i="5" s="1"/>
  <c r="T11" i="5"/>
  <c r="U11" i="5" s="1"/>
  <c r="T14" i="5"/>
  <c r="U14" i="5" s="1"/>
  <c r="T16" i="5"/>
  <c r="U16" i="5" s="1"/>
  <c r="T29" i="5"/>
  <c r="U29" i="5" s="1"/>
  <c r="T17" i="5"/>
  <c r="U17" i="5" s="1"/>
  <c r="T6" i="5"/>
  <c r="U6" i="5" s="1"/>
  <c r="T12" i="5"/>
  <c r="U12" i="5" s="1"/>
  <c r="T28" i="5"/>
  <c r="U28" i="5" s="1"/>
  <c r="T18" i="5"/>
  <c r="U18" i="5" s="1"/>
  <c r="T27" i="5"/>
  <c r="U27" i="5" s="1"/>
  <c r="T19" i="5"/>
  <c r="U19" i="5" s="1"/>
  <c r="T8" i="5"/>
  <c r="U8" i="5" s="1"/>
  <c r="T4" i="5"/>
  <c r="U4" i="5" s="1"/>
  <c r="T24" i="5"/>
  <c r="U24" i="5" s="1"/>
  <c r="T7" i="5"/>
  <c r="U7" i="5" s="1"/>
  <c r="T2" i="5"/>
  <c r="U2" i="5" s="1"/>
  <c r="T26" i="5"/>
  <c r="U26" i="5" s="1"/>
  <c r="T34" i="4"/>
  <c r="U34" i="4" s="1"/>
  <c r="T60" i="4"/>
  <c r="U60" i="4" s="1"/>
  <c r="T25" i="4"/>
  <c r="U25" i="4" s="1"/>
  <c r="T10" i="4"/>
  <c r="U10" i="4" s="1"/>
  <c r="T27" i="4"/>
  <c r="U27" i="4" s="1"/>
  <c r="T35" i="4"/>
  <c r="U35" i="4" s="1"/>
  <c r="T43" i="4"/>
  <c r="U43" i="4" s="1"/>
  <c r="T19" i="4"/>
  <c r="U19" i="4" s="1"/>
  <c r="T28" i="4"/>
  <c r="U28" i="4" s="1"/>
  <c r="T36" i="4"/>
  <c r="U36" i="4" s="1"/>
  <c r="T44" i="4"/>
  <c r="U44" i="4" s="1"/>
  <c r="T26" i="4"/>
  <c r="U26" i="4" s="1"/>
  <c r="T62" i="4"/>
  <c r="U62" i="4" s="1"/>
  <c r="T45" i="4"/>
  <c r="U45" i="4" s="1"/>
  <c r="T53" i="4"/>
  <c r="U53" i="4" s="1"/>
  <c r="T20" i="4"/>
  <c r="U20" i="4" s="1"/>
  <c r="T4" i="4"/>
  <c r="U4" i="4" s="1"/>
  <c r="T38" i="4"/>
  <c r="U38" i="4" s="1"/>
  <c r="T54" i="4"/>
  <c r="U54" i="4" s="1"/>
  <c r="T30" i="4"/>
  <c r="U30" i="4" s="1"/>
  <c r="T55" i="4"/>
  <c r="U55" i="4" s="1"/>
  <c r="T33" i="4"/>
  <c r="U33" i="4" s="1"/>
  <c r="T37" i="4"/>
  <c r="U37" i="4" s="1"/>
  <c r="T63" i="4"/>
  <c r="U63" i="4" s="1"/>
  <c r="T17" i="4"/>
  <c r="U17" i="4" s="1"/>
  <c r="T18" i="4"/>
  <c r="U18" i="4" s="1"/>
  <c r="T29" i="4"/>
  <c r="U29" i="4" s="1"/>
  <c r="T46" i="4"/>
  <c r="U46" i="4" s="1"/>
  <c r="T5" i="4"/>
  <c r="U5" i="4" s="1"/>
  <c r="T13" i="4"/>
  <c r="U13" i="4" s="1"/>
  <c r="T47" i="4"/>
  <c r="U47" i="4" s="1"/>
  <c r="T64" i="4"/>
  <c r="U64" i="4" s="1"/>
  <c r="T6" i="4"/>
  <c r="U6" i="4" s="1"/>
  <c r="T39" i="4"/>
  <c r="U39" i="4" s="1"/>
  <c r="T14" i="4"/>
  <c r="U14" i="4" s="1"/>
  <c r="T48" i="4"/>
  <c r="U48" i="4" s="1"/>
  <c r="T56" i="4"/>
  <c r="U56" i="4" s="1"/>
  <c r="T65" i="4"/>
  <c r="U65" i="4" s="1"/>
  <c r="T3" i="4"/>
  <c r="U3" i="4" s="1"/>
  <c r="T61" i="4"/>
  <c r="U61" i="4" s="1"/>
  <c r="T51" i="4"/>
  <c r="U51" i="4" s="1"/>
  <c r="T11" i="4"/>
  <c r="U11" i="4" s="1"/>
  <c r="T21" i="4"/>
  <c r="U21" i="4" s="1"/>
  <c r="T31" i="4"/>
  <c r="U31" i="4" s="1"/>
  <c r="T41" i="4"/>
  <c r="U41" i="4" s="1"/>
  <c r="T2" i="4"/>
  <c r="U2" i="4" s="1"/>
  <c r="W16" i="4" s="1"/>
  <c r="V16" i="4" s="1"/>
  <c r="T12" i="4"/>
  <c r="U12" i="4" s="1"/>
  <c r="W12" i="4" s="1"/>
  <c r="V12" i="4" s="1"/>
  <c r="T22" i="4"/>
  <c r="U22" i="4" s="1"/>
  <c r="T32" i="4"/>
  <c r="U32" i="4" s="1"/>
  <c r="T42" i="4"/>
  <c r="U42" i="4" s="1"/>
  <c r="T52" i="4"/>
  <c r="U52" i="4" s="1"/>
  <c r="T54" i="3"/>
  <c r="U54" i="3" s="1"/>
  <c r="T84" i="3"/>
  <c r="U84" i="3" s="1"/>
  <c r="T71" i="3"/>
  <c r="U71" i="3" s="1"/>
  <c r="T85" i="3"/>
  <c r="U85" i="3" s="1"/>
  <c r="T24" i="3"/>
  <c r="U24" i="3" s="1"/>
  <c r="T44" i="3"/>
  <c r="U44" i="3" s="1"/>
  <c r="T21" i="3"/>
  <c r="U21" i="3" s="1"/>
  <c r="T51" i="3"/>
  <c r="U51" i="3" s="1"/>
  <c r="T75" i="3"/>
  <c r="U75" i="3" s="1"/>
  <c r="T14" i="3"/>
  <c r="U14" i="3" s="1"/>
  <c r="T64" i="3"/>
  <c r="U64" i="3" s="1"/>
  <c r="T41" i="3"/>
  <c r="U41" i="3" s="1"/>
  <c r="T4" i="3"/>
  <c r="U4" i="3" s="1"/>
  <c r="T34" i="3"/>
  <c r="U34" i="3" s="1"/>
  <c r="T11" i="3"/>
  <c r="U11" i="3" s="1"/>
  <c r="W11" i="3" s="1"/>
  <c r="V11" i="3" s="1"/>
  <c r="T31" i="3"/>
  <c r="U31" i="3" s="1"/>
  <c r="T61" i="3"/>
  <c r="U61" i="3" s="1"/>
  <c r="T7" i="3"/>
  <c r="U7" i="3" s="1"/>
  <c r="T27" i="3"/>
  <c r="U27" i="3" s="1"/>
  <c r="T47" i="3"/>
  <c r="U47" i="3" s="1"/>
  <c r="T57" i="3"/>
  <c r="U57" i="3" s="1"/>
  <c r="T2" i="3"/>
  <c r="U2" i="3" s="1"/>
  <c r="W80" i="3" s="1"/>
  <c r="V80" i="3" s="1"/>
  <c r="T17" i="3"/>
  <c r="U17" i="3" s="1"/>
  <c r="T37" i="3"/>
  <c r="U37" i="3" s="1"/>
  <c r="T4" i="2"/>
  <c r="U4" i="2" s="1"/>
  <c r="W4" i="2" s="1"/>
  <c r="V4" i="2" s="1"/>
  <c r="T24" i="2"/>
  <c r="U24" i="2" s="1"/>
  <c r="T14" i="2"/>
  <c r="U14" i="2" s="1"/>
  <c r="T10" i="1"/>
  <c r="U10" i="1" s="1"/>
  <c r="T20" i="1"/>
  <c r="U20" i="1" s="1"/>
  <c r="T30" i="1"/>
  <c r="U30" i="1" s="1"/>
  <c r="T40" i="1"/>
  <c r="U40" i="1" s="1"/>
  <c r="T50" i="1"/>
  <c r="U50" i="1" s="1"/>
  <c r="T60" i="1"/>
  <c r="U60" i="1" s="1"/>
  <c r="T70" i="1"/>
  <c r="U70" i="1" s="1"/>
  <c r="T80" i="1"/>
  <c r="U80" i="1" s="1"/>
  <c r="T90" i="1"/>
  <c r="U90" i="1" s="1"/>
  <c r="T7" i="1"/>
  <c r="U7" i="1" s="1"/>
  <c r="T17" i="1"/>
  <c r="U17" i="1" s="1"/>
  <c r="T27" i="1"/>
  <c r="U27" i="1" s="1"/>
  <c r="T37" i="1"/>
  <c r="U37" i="1" s="1"/>
  <c r="T47" i="1"/>
  <c r="U47" i="1" s="1"/>
  <c r="T57" i="1"/>
  <c r="U57" i="1" s="1"/>
  <c r="T67" i="1"/>
  <c r="U67" i="1" s="1"/>
  <c r="T77" i="1"/>
  <c r="U77" i="1" s="1"/>
  <c r="T87" i="1"/>
  <c r="U87" i="1" s="1"/>
  <c r="T8" i="1"/>
  <c r="U8" i="1" s="1"/>
  <c r="T88" i="1"/>
  <c r="U88" i="1" s="1"/>
  <c r="T5" i="1"/>
  <c r="U5" i="1" s="1"/>
  <c r="T15" i="1"/>
  <c r="U15" i="1" s="1"/>
  <c r="T25" i="1"/>
  <c r="U25" i="1" s="1"/>
  <c r="T35" i="1"/>
  <c r="U35" i="1" s="1"/>
  <c r="T45" i="1"/>
  <c r="U45" i="1" s="1"/>
  <c r="T55" i="1"/>
  <c r="U55" i="1" s="1"/>
  <c r="T65" i="1"/>
  <c r="U65" i="1" s="1"/>
  <c r="T75" i="1"/>
  <c r="U75" i="1" s="1"/>
  <c r="T85" i="1"/>
  <c r="U85" i="1" s="1"/>
  <c r="T95" i="1"/>
  <c r="U95" i="1" s="1"/>
  <c r="T92" i="1"/>
  <c r="U92" i="1" s="1"/>
  <c r="T6" i="1"/>
  <c r="U6" i="1" s="1"/>
  <c r="T16" i="1"/>
  <c r="U16" i="1" s="1"/>
  <c r="T26" i="1"/>
  <c r="U26" i="1" s="1"/>
  <c r="T36" i="1"/>
  <c r="U36" i="1" s="1"/>
  <c r="T46" i="1"/>
  <c r="U46" i="1" s="1"/>
  <c r="T56" i="1"/>
  <c r="U56" i="1" s="1"/>
  <c r="T66" i="1"/>
  <c r="U66" i="1" s="1"/>
  <c r="T76" i="1"/>
  <c r="U76" i="1" s="1"/>
  <c r="T2" i="1"/>
  <c r="U2" i="1" s="1"/>
  <c r="T22" i="1"/>
  <c r="U22" i="1" s="1"/>
  <c r="T32" i="1"/>
  <c r="U32" i="1" s="1"/>
  <c r="T42" i="1"/>
  <c r="U42" i="1" s="1"/>
  <c r="T52" i="1"/>
  <c r="U52" i="1" s="1"/>
  <c r="W52" i="1" s="1"/>
  <c r="V52" i="1" s="1"/>
  <c r="T62" i="1"/>
  <c r="U62" i="1" s="1"/>
  <c r="T72" i="1"/>
  <c r="U72" i="1" s="1"/>
  <c r="T82" i="1"/>
  <c r="U82" i="1" s="1"/>
  <c r="T3" i="1"/>
  <c r="U3" i="1" s="1"/>
  <c r="T13" i="1"/>
  <c r="U13" i="1" s="1"/>
  <c r="T23" i="1"/>
  <c r="U23" i="1" s="1"/>
  <c r="T33" i="1"/>
  <c r="U33" i="1" s="1"/>
  <c r="T43" i="1"/>
  <c r="U43" i="1" s="1"/>
  <c r="T53" i="1"/>
  <c r="U53" i="1" s="1"/>
  <c r="T63" i="1"/>
  <c r="U63" i="1" s="1"/>
  <c r="T73" i="1"/>
  <c r="U73" i="1" s="1"/>
  <c r="T83" i="1"/>
  <c r="U83" i="1" s="1"/>
  <c r="W62" i="6" l="1"/>
  <c r="V62" i="6" s="1"/>
  <c r="W47" i="6"/>
  <c r="V47" i="6" s="1"/>
  <c r="W6" i="5"/>
  <c r="V6" i="5" s="1"/>
  <c r="W32" i="6"/>
  <c r="V32" i="6" s="1"/>
  <c r="W3" i="6"/>
  <c r="V3" i="6" s="1"/>
  <c r="W40" i="6"/>
  <c r="V40" i="6" s="1"/>
  <c r="W6" i="6"/>
  <c r="V6" i="6" s="1"/>
  <c r="W28" i="6"/>
  <c r="V28" i="6" s="1"/>
  <c r="W41" i="6"/>
  <c r="V41" i="6" s="1"/>
  <c r="W42" i="6"/>
  <c r="V42" i="6" s="1"/>
  <c r="W27" i="6"/>
  <c r="V27" i="6" s="1"/>
  <c r="W2" i="6"/>
  <c r="V2" i="6" s="1"/>
  <c r="W9" i="6"/>
  <c r="V9" i="6" s="1"/>
  <c r="W59" i="6"/>
  <c r="V59" i="6" s="1"/>
  <c r="W16" i="6"/>
  <c r="V16" i="6" s="1"/>
  <c r="W45" i="6"/>
  <c r="V45" i="6" s="1"/>
  <c r="W4" i="6"/>
  <c r="V4" i="6" s="1"/>
  <c r="W7" i="6"/>
  <c r="V7" i="6" s="1"/>
  <c r="W49" i="6"/>
  <c r="V49" i="6" s="1"/>
  <c r="W11" i="6"/>
  <c r="V11" i="6" s="1"/>
  <c r="W52" i="6"/>
  <c r="V52" i="6" s="1"/>
  <c r="W24" i="6"/>
  <c r="V24" i="6" s="1"/>
  <c r="W31" i="6"/>
  <c r="V31" i="6" s="1"/>
  <c r="W46" i="6"/>
  <c r="V46" i="6" s="1"/>
  <c r="W12" i="6"/>
  <c r="V12" i="6" s="1"/>
  <c r="W51" i="6"/>
  <c r="V51" i="6" s="1"/>
  <c r="W13" i="6"/>
  <c r="V13" i="6" s="1"/>
  <c r="W38" i="6"/>
  <c r="V38" i="6" s="1"/>
  <c r="W22" i="6"/>
  <c r="V22" i="6" s="1"/>
  <c r="W37" i="6"/>
  <c r="V37" i="6" s="1"/>
  <c r="W58" i="6"/>
  <c r="V58" i="6" s="1"/>
  <c r="W57" i="6"/>
  <c r="V57" i="6" s="1"/>
  <c r="W43" i="6"/>
  <c r="V43" i="6" s="1"/>
  <c r="W39" i="6"/>
  <c r="V39" i="6" s="1"/>
  <c r="W20" i="5"/>
  <c r="V20" i="5" s="1"/>
  <c r="W10" i="6"/>
  <c r="V10" i="6" s="1"/>
  <c r="W63" i="6"/>
  <c r="V63" i="6" s="1"/>
  <c r="W61" i="6"/>
  <c r="V61" i="6" s="1"/>
  <c r="W21" i="6"/>
  <c r="V21" i="6" s="1"/>
  <c r="W44" i="6"/>
  <c r="V44" i="6" s="1"/>
  <c r="W33" i="6"/>
  <c r="V33" i="6" s="1"/>
  <c r="W29" i="6"/>
  <c r="V29" i="6" s="1"/>
  <c r="W35" i="6"/>
  <c r="V35" i="6" s="1"/>
  <c r="W55" i="6"/>
  <c r="V55" i="6" s="1"/>
  <c r="W19" i="6"/>
  <c r="V19" i="6" s="1"/>
  <c r="W60" i="6"/>
  <c r="V60" i="6" s="1"/>
  <c r="W26" i="6"/>
  <c r="V26" i="6" s="1"/>
  <c r="W36" i="6"/>
  <c r="V36" i="6" s="1"/>
  <c r="W18" i="6"/>
  <c r="V18" i="6" s="1"/>
  <c r="W50" i="6"/>
  <c r="V50" i="6" s="1"/>
  <c r="W53" i="6"/>
  <c r="V53" i="6" s="1"/>
  <c r="W14" i="6"/>
  <c r="V14" i="6" s="1"/>
  <c r="W54" i="6"/>
  <c r="V54" i="6" s="1"/>
  <c r="W30" i="6"/>
  <c r="V30" i="6" s="1"/>
  <c r="W34" i="6"/>
  <c r="V34" i="6" s="1"/>
  <c r="W5" i="6"/>
  <c r="V5" i="6" s="1"/>
  <c r="W17" i="6"/>
  <c r="V17" i="6" s="1"/>
  <c r="W20" i="6"/>
  <c r="V20" i="6" s="1"/>
  <c r="W25" i="6"/>
  <c r="V25" i="6" s="1"/>
  <c r="W48" i="6"/>
  <c r="V48" i="6" s="1"/>
  <c r="W8" i="6"/>
  <c r="V8" i="6" s="1"/>
  <c r="W4" i="5"/>
  <c r="V4" i="5" s="1"/>
  <c r="W22" i="5"/>
  <c r="V22" i="5" s="1"/>
  <c r="W12" i="5"/>
  <c r="V12" i="5" s="1"/>
  <c r="W3" i="5"/>
  <c r="V3" i="5" s="1"/>
  <c r="W13" i="5"/>
  <c r="V13" i="5" s="1"/>
  <c r="W17" i="5"/>
  <c r="V17" i="5" s="1"/>
  <c r="W29" i="5"/>
  <c r="V29" i="5" s="1"/>
  <c r="W19" i="5"/>
  <c r="V19" i="5" s="1"/>
  <c r="W23" i="5"/>
  <c r="V23" i="5" s="1"/>
  <c r="W9" i="5"/>
  <c r="V9" i="5" s="1"/>
  <c r="W16" i="5"/>
  <c r="V16" i="5" s="1"/>
  <c r="W14" i="5"/>
  <c r="V14" i="5" s="1"/>
  <c r="W8" i="5"/>
  <c r="V8" i="5" s="1"/>
  <c r="W30" i="5"/>
  <c r="V30" i="5" s="1"/>
  <c r="W11" i="5"/>
  <c r="V11" i="5" s="1"/>
  <c r="W10" i="5"/>
  <c r="V10" i="5" s="1"/>
  <c r="W27" i="5"/>
  <c r="V27" i="5" s="1"/>
  <c r="W7" i="5"/>
  <c r="V7" i="5" s="1"/>
  <c r="W21" i="5"/>
  <c r="V21" i="5" s="1"/>
  <c r="W2" i="5"/>
  <c r="V2" i="5" s="1"/>
  <c r="W28" i="5"/>
  <c r="V28" i="5" s="1"/>
  <c r="W15" i="5"/>
  <c r="V15" i="5" s="1"/>
  <c r="W26" i="5"/>
  <c r="V26" i="5" s="1"/>
  <c r="W24" i="5"/>
  <c r="V24" i="5" s="1"/>
  <c r="W5" i="5"/>
  <c r="V5" i="5" s="1"/>
  <c r="W18" i="5"/>
  <c r="V18" i="5" s="1"/>
  <c r="W25" i="5"/>
  <c r="V25" i="5" s="1"/>
  <c r="W29" i="4"/>
  <c r="V29" i="4" s="1"/>
  <c r="W36" i="4"/>
  <c r="V36" i="4" s="1"/>
  <c r="W18" i="4"/>
  <c r="V18" i="4" s="1"/>
  <c r="W28" i="4"/>
  <c r="V28" i="4" s="1"/>
  <c r="W17" i="4"/>
  <c r="V17" i="4" s="1"/>
  <c r="W19" i="4"/>
  <c r="V19" i="4" s="1"/>
  <c r="W31" i="4"/>
  <c r="V31" i="4" s="1"/>
  <c r="W23" i="4"/>
  <c r="V23" i="4" s="1"/>
  <c r="W43" i="4"/>
  <c r="V43" i="4" s="1"/>
  <c r="W21" i="4"/>
  <c r="V21" i="4" s="1"/>
  <c r="W35" i="4"/>
  <c r="V35" i="4" s="1"/>
  <c r="W37" i="4"/>
  <c r="V37" i="4" s="1"/>
  <c r="W27" i="4"/>
  <c r="V27" i="4" s="1"/>
  <c r="W11" i="4"/>
  <c r="V11" i="4" s="1"/>
  <c r="W10" i="4"/>
  <c r="V10" i="4" s="1"/>
  <c r="W63" i="4"/>
  <c r="V63" i="4" s="1"/>
  <c r="W25" i="4"/>
  <c r="V25" i="4" s="1"/>
  <c r="W41" i="4"/>
  <c r="V41" i="4" s="1"/>
  <c r="W3" i="4"/>
  <c r="V3" i="4" s="1"/>
  <c r="W30" i="4"/>
  <c r="V30" i="4" s="1"/>
  <c r="W54" i="4"/>
  <c r="V54" i="4" s="1"/>
  <c r="W60" i="4"/>
  <c r="V60" i="4" s="1"/>
  <c r="W2" i="4"/>
  <c r="V2" i="4" s="1"/>
  <c r="W48" i="4"/>
  <c r="V48" i="4" s="1"/>
  <c r="W34" i="4"/>
  <c r="V34" i="4" s="1"/>
  <c r="W55" i="4"/>
  <c r="V55" i="4" s="1"/>
  <c r="W4" i="4"/>
  <c r="V4" i="4" s="1"/>
  <c r="W14" i="4"/>
  <c r="V14" i="4" s="1"/>
  <c r="W20" i="4"/>
  <c r="V20" i="4" s="1"/>
  <c r="W40" i="4"/>
  <c r="V40" i="4" s="1"/>
  <c r="W65" i="4"/>
  <c r="V65" i="4" s="1"/>
  <c r="W39" i="4"/>
  <c r="V39" i="4" s="1"/>
  <c r="W24" i="4"/>
  <c r="V24" i="4" s="1"/>
  <c r="W50" i="4"/>
  <c r="V50" i="4" s="1"/>
  <c r="W38" i="4"/>
  <c r="V38" i="4" s="1"/>
  <c r="W15" i="4"/>
  <c r="V15" i="4" s="1"/>
  <c r="W53" i="4"/>
  <c r="V53" i="4" s="1"/>
  <c r="W58" i="4"/>
  <c r="V58" i="4" s="1"/>
  <c r="W33" i="4"/>
  <c r="V33" i="4" s="1"/>
  <c r="W6" i="4"/>
  <c r="V6" i="4" s="1"/>
  <c r="W64" i="4"/>
  <c r="V64" i="4" s="1"/>
  <c r="W45" i="4"/>
  <c r="V45" i="4" s="1"/>
  <c r="W57" i="4"/>
  <c r="V57" i="4" s="1"/>
  <c r="W52" i="4"/>
  <c r="V52" i="4" s="1"/>
  <c r="W62" i="4"/>
  <c r="V62" i="4" s="1"/>
  <c r="W7" i="4"/>
  <c r="V7" i="4" s="1"/>
  <c r="W61" i="4"/>
  <c r="V61" i="4" s="1"/>
  <c r="W47" i="4"/>
  <c r="V47" i="4" s="1"/>
  <c r="W13" i="4"/>
  <c r="V13" i="4" s="1"/>
  <c r="W26" i="4"/>
  <c r="V26" i="4" s="1"/>
  <c r="W49" i="4"/>
  <c r="V49" i="4" s="1"/>
  <c r="W56" i="4"/>
  <c r="V56" i="4" s="1"/>
  <c r="W42" i="4"/>
  <c r="V42" i="4" s="1"/>
  <c r="W32" i="4"/>
  <c r="V32" i="4" s="1"/>
  <c r="W5" i="4"/>
  <c r="V5" i="4" s="1"/>
  <c r="W8" i="4"/>
  <c r="V8" i="4" s="1"/>
  <c r="W59" i="4"/>
  <c r="V59" i="4" s="1"/>
  <c r="W51" i="4"/>
  <c r="V51" i="4" s="1"/>
  <c r="W22" i="4"/>
  <c r="V22" i="4" s="1"/>
  <c r="W46" i="4"/>
  <c r="V46" i="4" s="1"/>
  <c r="W44" i="4"/>
  <c r="V44" i="4" s="1"/>
  <c r="W9" i="4"/>
  <c r="V9" i="4" s="1"/>
  <c r="W34" i="3"/>
  <c r="V34" i="3" s="1"/>
  <c r="W15" i="3"/>
  <c r="V15" i="3" s="1"/>
  <c r="W19" i="3"/>
  <c r="V19" i="3" s="1"/>
  <c r="W76" i="3"/>
  <c r="V76" i="3" s="1"/>
  <c r="W4" i="3"/>
  <c r="V4" i="3" s="1"/>
  <c r="W52" i="3"/>
  <c r="V52" i="3" s="1"/>
  <c r="W9" i="3"/>
  <c r="V9" i="3" s="1"/>
  <c r="W46" i="3"/>
  <c r="V46" i="3" s="1"/>
  <c r="W41" i="3"/>
  <c r="V41" i="3" s="1"/>
  <c r="W70" i="3"/>
  <c r="V70" i="3" s="1"/>
  <c r="W56" i="3"/>
  <c r="V56" i="3" s="1"/>
  <c r="W72" i="3"/>
  <c r="V72" i="3" s="1"/>
  <c r="W64" i="3"/>
  <c r="V64" i="3" s="1"/>
  <c r="W50" i="3"/>
  <c r="V50" i="3" s="1"/>
  <c r="W55" i="3"/>
  <c r="V55" i="3" s="1"/>
  <c r="W74" i="3"/>
  <c r="V74" i="3" s="1"/>
  <c r="W14" i="3"/>
  <c r="V14" i="3" s="1"/>
  <c r="W39" i="3"/>
  <c r="V39" i="3" s="1"/>
  <c r="W53" i="3"/>
  <c r="V53" i="3" s="1"/>
  <c r="W35" i="3"/>
  <c r="V35" i="3" s="1"/>
  <c r="W75" i="3"/>
  <c r="V75" i="3" s="1"/>
  <c r="W73" i="3"/>
  <c r="V73" i="3" s="1"/>
  <c r="W68" i="3"/>
  <c r="V68" i="3" s="1"/>
  <c r="W42" i="3"/>
  <c r="V42" i="3" s="1"/>
  <c r="W51" i="3"/>
  <c r="V51" i="3" s="1"/>
  <c r="W89" i="3"/>
  <c r="V89" i="3" s="1"/>
  <c r="W58" i="3"/>
  <c r="V58" i="3" s="1"/>
  <c r="W83" i="3"/>
  <c r="V83" i="3" s="1"/>
  <c r="W21" i="3"/>
  <c r="V21" i="3" s="1"/>
  <c r="W79" i="3"/>
  <c r="V79" i="3" s="1"/>
  <c r="W48" i="3"/>
  <c r="V48" i="3" s="1"/>
  <c r="W82" i="3"/>
  <c r="V82" i="3" s="1"/>
  <c r="W44" i="3"/>
  <c r="V44" i="3" s="1"/>
  <c r="W30" i="3"/>
  <c r="V30" i="3" s="1"/>
  <c r="W38" i="3"/>
  <c r="V38" i="3" s="1"/>
  <c r="W33" i="3"/>
  <c r="V33" i="3" s="1"/>
  <c r="W24" i="3"/>
  <c r="V24" i="3" s="1"/>
  <c r="W49" i="3"/>
  <c r="V49" i="3" s="1"/>
  <c r="W36" i="3"/>
  <c r="V36" i="3" s="1"/>
  <c r="W23" i="3"/>
  <c r="V23" i="3" s="1"/>
  <c r="W85" i="3"/>
  <c r="V85" i="3" s="1"/>
  <c r="W8" i="3"/>
  <c r="V8" i="3" s="1"/>
  <c r="W25" i="3"/>
  <c r="V25" i="3" s="1"/>
  <c r="W3" i="3"/>
  <c r="V3" i="3" s="1"/>
  <c r="W71" i="3"/>
  <c r="V71" i="3" s="1"/>
  <c r="W16" i="3"/>
  <c r="V16" i="3" s="1"/>
  <c r="W43" i="3"/>
  <c r="V43" i="3" s="1"/>
  <c r="W81" i="3"/>
  <c r="V81" i="3" s="1"/>
  <c r="W84" i="3"/>
  <c r="V84" i="3" s="1"/>
  <c r="W5" i="3"/>
  <c r="V5" i="3" s="1"/>
  <c r="W87" i="3"/>
  <c r="V87" i="3" s="1"/>
  <c r="W32" i="3"/>
  <c r="V32" i="3" s="1"/>
  <c r="W37" i="3"/>
  <c r="V37" i="3" s="1"/>
  <c r="W54" i="3"/>
  <c r="V54" i="3" s="1"/>
  <c r="W13" i="3"/>
  <c r="V13" i="3" s="1"/>
  <c r="W77" i="3"/>
  <c r="V77" i="3" s="1"/>
  <c r="W22" i="3"/>
  <c r="V22" i="3" s="1"/>
  <c r="W26" i="3"/>
  <c r="V26" i="3" s="1"/>
  <c r="W29" i="3"/>
  <c r="V29" i="3" s="1"/>
  <c r="W86" i="3"/>
  <c r="V86" i="3" s="1"/>
  <c r="W47" i="3"/>
  <c r="V47" i="3" s="1"/>
  <c r="W90" i="3"/>
  <c r="V90" i="3" s="1"/>
  <c r="W69" i="3"/>
  <c r="V69" i="3" s="1"/>
  <c r="W28" i="3"/>
  <c r="V28" i="3" s="1"/>
  <c r="W12" i="3"/>
  <c r="V12" i="3" s="1"/>
  <c r="W57" i="3"/>
  <c r="V57" i="3" s="1"/>
  <c r="W27" i="3"/>
  <c r="V27" i="3" s="1"/>
  <c r="W60" i="3"/>
  <c r="V60" i="3" s="1"/>
  <c r="W59" i="3"/>
  <c r="V59" i="3" s="1"/>
  <c r="W66" i="3"/>
  <c r="V66" i="3" s="1"/>
  <c r="W2" i="3"/>
  <c r="V2" i="3" s="1"/>
  <c r="W7" i="3"/>
  <c r="V7" i="3" s="1"/>
  <c r="W40" i="3"/>
  <c r="V40" i="3" s="1"/>
  <c r="W45" i="3"/>
  <c r="V45" i="3" s="1"/>
  <c r="W65" i="3"/>
  <c r="V65" i="3" s="1"/>
  <c r="W20" i="3"/>
  <c r="V20" i="3" s="1"/>
  <c r="W61" i="3"/>
  <c r="V61" i="3" s="1"/>
  <c r="W10" i="3"/>
  <c r="V10" i="3" s="1"/>
  <c r="W88" i="3"/>
  <c r="V88" i="3" s="1"/>
  <c r="W63" i="3"/>
  <c r="V63" i="3" s="1"/>
  <c r="W6" i="3"/>
  <c r="V6" i="3" s="1"/>
  <c r="W17" i="3"/>
  <c r="V17" i="3" s="1"/>
  <c r="W31" i="3"/>
  <c r="V31" i="3" s="1"/>
  <c r="W18" i="3"/>
  <c r="V18" i="3" s="1"/>
  <c r="W78" i="3"/>
  <c r="V78" i="3" s="1"/>
  <c r="W62" i="3"/>
  <c r="V62" i="3" s="1"/>
  <c r="W67" i="3"/>
  <c r="V67" i="3" s="1"/>
  <c r="W10" i="2"/>
  <c r="V10" i="2" s="1"/>
  <c r="W19" i="2"/>
  <c r="V19" i="2" s="1"/>
  <c r="W9" i="2"/>
  <c r="V9" i="2" s="1"/>
  <c r="W2" i="2"/>
  <c r="V2" i="2" s="1"/>
  <c r="W26" i="2"/>
  <c r="V26" i="2" s="1"/>
  <c r="W27" i="2"/>
  <c r="V27" i="2" s="1"/>
  <c r="W17" i="2"/>
  <c r="V17" i="2" s="1"/>
  <c r="W30" i="2"/>
  <c r="V30" i="2" s="1"/>
  <c r="W11" i="2"/>
  <c r="V11" i="2" s="1"/>
  <c r="W14" i="2"/>
  <c r="V14" i="2" s="1"/>
  <c r="W16" i="2"/>
  <c r="V16" i="2" s="1"/>
  <c r="W28" i="2"/>
  <c r="V28" i="2" s="1"/>
  <c r="W8" i="2"/>
  <c r="V8" i="2" s="1"/>
  <c r="W7" i="2"/>
  <c r="V7" i="2" s="1"/>
  <c r="W15" i="2"/>
  <c r="V15" i="2" s="1"/>
  <c r="W24" i="2"/>
  <c r="V24" i="2" s="1"/>
  <c r="W6" i="2"/>
  <c r="V6" i="2" s="1"/>
  <c r="W5" i="2"/>
  <c r="V5" i="2" s="1"/>
  <c r="W25" i="2"/>
  <c r="V25" i="2" s="1"/>
  <c r="W23" i="2"/>
  <c r="V23" i="2" s="1"/>
  <c r="W20" i="2"/>
  <c r="V20" i="2" s="1"/>
  <c r="W13" i="2"/>
  <c r="V13" i="2" s="1"/>
  <c r="W18" i="2"/>
  <c r="V18" i="2" s="1"/>
  <c r="W22" i="2"/>
  <c r="V22" i="2" s="1"/>
  <c r="W3" i="2"/>
  <c r="V3" i="2" s="1"/>
  <c r="W12" i="2"/>
  <c r="V12" i="2" s="1"/>
  <c r="W29" i="2"/>
  <c r="V29" i="2" s="1"/>
  <c r="W21" i="2"/>
  <c r="V21" i="2" s="1"/>
  <c r="W13" i="1"/>
  <c r="V13" i="1" s="1"/>
  <c r="W2" i="1"/>
  <c r="V2" i="1" s="1"/>
  <c r="W88" i="1"/>
  <c r="V88" i="1" s="1"/>
  <c r="W96" i="1"/>
  <c r="V96" i="1" s="1"/>
  <c r="W68" i="1"/>
  <c r="V68" i="1" s="1"/>
  <c r="W5" i="1"/>
  <c r="V5" i="1" s="1"/>
  <c r="W24" i="1"/>
  <c r="V24" i="1" s="1"/>
  <c r="W76" i="1"/>
  <c r="V76" i="1" s="1"/>
  <c r="W8" i="1"/>
  <c r="V8" i="1" s="1"/>
  <c r="W58" i="1"/>
  <c r="V58" i="1" s="1"/>
  <c r="W71" i="1"/>
  <c r="V71" i="1" s="1"/>
  <c r="W10" i="1"/>
  <c r="V10" i="1" s="1"/>
  <c r="W66" i="1"/>
  <c r="V66" i="1" s="1"/>
  <c r="W87" i="1"/>
  <c r="V87" i="1" s="1"/>
  <c r="W48" i="1"/>
  <c r="V48" i="1" s="1"/>
  <c r="W14" i="1"/>
  <c r="V14" i="1" s="1"/>
  <c r="W22" i="1"/>
  <c r="V22" i="1" s="1"/>
  <c r="W56" i="1"/>
  <c r="V56" i="1" s="1"/>
  <c r="W77" i="1"/>
  <c r="V77" i="1" s="1"/>
  <c r="W29" i="1"/>
  <c r="V29" i="1" s="1"/>
  <c r="W61" i="1"/>
  <c r="V61" i="1" s="1"/>
  <c r="W83" i="1"/>
  <c r="V83" i="1" s="1"/>
  <c r="W46" i="1"/>
  <c r="V46" i="1" s="1"/>
  <c r="W67" i="1"/>
  <c r="V67" i="1" s="1"/>
  <c r="W38" i="1"/>
  <c r="V38" i="1" s="1"/>
  <c r="W4" i="1"/>
  <c r="V4" i="1" s="1"/>
  <c r="W73" i="1"/>
  <c r="V73" i="1" s="1"/>
  <c r="W36" i="1"/>
  <c r="V36" i="1" s="1"/>
  <c r="W57" i="1"/>
  <c r="V57" i="1" s="1"/>
  <c r="W19" i="1"/>
  <c r="V19" i="1" s="1"/>
  <c r="W59" i="1"/>
  <c r="V59" i="1" s="1"/>
  <c r="W63" i="1"/>
  <c r="V63" i="1" s="1"/>
  <c r="W26" i="1"/>
  <c r="V26" i="1" s="1"/>
  <c r="W47" i="1"/>
  <c r="V47" i="1" s="1"/>
  <c r="W28" i="1"/>
  <c r="V28" i="1" s="1"/>
  <c r="W51" i="1"/>
  <c r="V51" i="1" s="1"/>
  <c r="W53" i="1"/>
  <c r="V53" i="1" s="1"/>
  <c r="W16" i="1"/>
  <c r="V16" i="1" s="1"/>
  <c r="W37" i="1"/>
  <c r="V37" i="1" s="1"/>
  <c r="W9" i="1"/>
  <c r="V9" i="1" s="1"/>
  <c r="W41" i="1"/>
  <c r="V41" i="1" s="1"/>
  <c r="W43" i="1"/>
  <c r="V43" i="1" s="1"/>
  <c r="W6" i="1"/>
  <c r="V6" i="1" s="1"/>
  <c r="W27" i="1"/>
  <c r="V27" i="1" s="1"/>
  <c r="W94" i="1"/>
  <c r="V94" i="1" s="1"/>
  <c r="W79" i="1"/>
  <c r="V79" i="1" s="1"/>
  <c r="W33" i="1"/>
  <c r="V33" i="1" s="1"/>
  <c r="W92" i="1"/>
  <c r="V92" i="1" s="1"/>
  <c r="W17" i="1"/>
  <c r="V17" i="1" s="1"/>
  <c r="W18" i="1"/>
  <c r="V18" i="1" s="1"/>
  <c r="W39" i="1"/>
  <c r="V39" i="1" s="1"/>
  <c r="W23" i="1"/>
  <c r="V23" i="1" s="1"/>
  <c r="W95" i="1"/>
  <c r="V95" i="1" s="1"/>
  <c r="W7" i="1"/>
  <c r="V7" i="1" s="1"/>
  <c r="W84" i="1"/>
  <c r="V84" i="1" s="1"/>
  <c r="W89" i="1"/>
  <c r="V89" i="1" s="1"/>
  <c r="W85" i="1"/>
  <c r="V85" i="1" s="1"/>
  <c r="W90" i="1"/>
  <c r="V90" i="1" s="1"/>
  <c r="W93" i="1"/>
  <c r="V93" i="1" s="1"/>
  <c r="W11" i="1"/>
  <c r="V11" i="1" s="1"/>
  <c r="W3" i="1"/>
  <c r="V3" i="1" s="1"/>
  <c r="W75" i="1"/>
  <c r="V75" i="1" s="1"/>
  <c r="W80" i="1"/>
  <c r="V80" i="1" s="1"/>
  <c r="W74" i="1"/>
  <c r="V74" i="1" s="1"/>
  <c r="W49" i="1"/>
  <c r="V49" i="1" s="1"/>
  <c r="W82" i="1"/>
  <c r="V82" i="1" s="1"/>
  <c r="W65" i="1"/>
  <c r="V65" i="1" s="1"/>
  <c r="W70" i="1"/>
  <c r="V70" i="1" s="1"/>
  <c r="W64" i="1"/>
  <c r="V64" i="1" s="1"/>
  <c r="W31" i="1"/>
  <c r="V31" i="1" s="1"/>
  <c r="W72" i="1"/>
  <c r="V72" i="1" s="1"/>
  <c r="W55" i="1"/>
  <c r="V55" i="1" s="1"/>
  <c r="W60" i="1"/>
  <c r="V60" i="1" s="1"/>
  <c r="W54" i="1"/>
  <c r="V54" i="1" s="1"/>
  <c r="W69" i="1"/>
  <c r="V69" i="1" s="1"/>
  <c r="W62" i="1"/>
  <c r="V62" i="1" s="1"/>
  <c r="W45" i="1"/>
  <c r="V45" i="1" s="1"/>
  <c r="W50" i="1"/>
  <c r="V50" i="1" s="1"/>
  <c r="W44" i="1"/>
  <c r="V44" i="1" s="1"/>
  <c r="W12" i="1"/>
  <c r="V12" i="1" s="1"/>
  <c r="W35" i="1"/>
  <c r="V35" i="1" s="1"/>
  <c r="W40" i="1"/>
  <c r="V40" i="1" s="1"/>
  <c r="W91" i="1"/>
  <c r="V91" i="1" s="1"/>
  <c r="W21" i="1"/>
  <c r="V21" i="1" s="1"/>
  <c r="W42" i="1"/>
  <c r="V42" i="1" s="1"/>
  <c r="W25" i="1"/>
  <c r="V25" i="1" s="1"/>
  <c r="W30" i="1"/>
  <c r="V30" i="1" s="1"/>
  <c r="W34" i="1"/>
  <c r="V34" i="1" s="1"/>
  <c r="W86" i="1"/>
  <c r="V86" i="1" s="1"/>
  <c r="W32" i="1"/>
  <c r="V32" i="1" s="1"/>
  <c r="W15" i="1"/>
  <c r="V15" i="1" s="1"/>
  <c r="W20" i="1"/>
  <c r="V20" i="1" s="1"/>
  <c r="W81" i="1"/>
  <c r="V81" i="1" s="1"/>
  <c r="W78" i="1"/>
  <c r="V78" i="1" s="1"/>
</calcChain>
</file>

<file path=xl/sharedStrings.xml><?xml version="1.0" encoding="utf-8"?>
<sst xmlns="http://schemas.openxmlformats.org/spreadsheetml/2006/main" count="1260" uniqueCount="401">
  <si>
    <r>
      <rPr>
        <b/>
        <sz val="7"/>
        <rFont val="Microsoft YaHei"/>
        <charset val="134"/>
      </rPr>
      <t>序号</t>
    </r>
  </si>
  <si>
    <r>
      <rPr>
        <b/>
        <sz val="7"/>
        <rFont val="Microsoft YaHei"/>
        <charset val="134"/>
      </rPr>
      <t>学号</t>
    </r>
  </si>
  <si>
    <r>
      <rPr>
        <b/>
        <sz val="7"/>
        <rFont val="Microsoft YaHei"/>
        <charset val="134"/>
      </rPr>
      <t>姓名</t>
    </r>
  </si>
  <si>
    <r>
      <rPr>
        <b/>
        <sz val="7"/>
        <rFont val="Microsoft YaHei"/>
        <charset val="134"/>
      </rPr>
      <t>班级</t>
    </r>
  </si>
  <si>
    <r>
      <rPr>
        <b/>
        <sz val="7"/>
        <rFont val="Microsoft YaHei"/>
        <charset val="134"/>
      </rPr>
      <t xml:space="preserve">课程成绩
</t>
    </r>
    <r>
      <rPr>
        <b/>
        <sz val="7"/>
        <rFont val="Microsoft YaHei"/>
        <charset val="134"/>
      </rPr>
      <t xml:space="preserve">本专业名
</t>
    </r>
    <r>
      <rPr>
        <b/>
        <sz val="7"/>
        <rFont val="Microsoft YaHei"/>
        <charset val="134"/>
      </rPr>
      <t>次</t>
    </r>
  </si>
  <si>
    <r>
      <rPr>
        <b/>
        <sz val="7"/>
        <rFont val="Microsoft YaHei"/>
        <charset val="134"/>
      </rPr>
      <t xml:space="preserve">课程成绩本
</t>
    </r>
    <r>
      <rPr>
        <b/>
        <sz val="7"/>
        <rFont val="Microsoft YaHei"/>
        <charset val="134"/>
      </rPr>
      <t xml:space="preserve">专业排名百
</t>
    </r>
    <r>
      <rPr>
        <b/>
        <sz val="7"/>
        <rFont val="Microsoft YaHei"/>
        <charset val="134"/>
      </rPr>
      <t>分比</t>
    </r>
  </si>
  <si>
    <r>
      <rPr>
        <b/>
        <sz val="7"/>
        <rFont val="Microsoft YaHei"/>
        <charset val="134"/>
      </rPr>
      <t>课程成绩计算结果</t>
    </r>
  </si>
  <si>
    <r>
      <rPr>
        <b/>
        <sz val="7"/>
        <rFont val="Microsoft YaHei"/>
        <charset val="134"/>
      </rPr>
      <t xml:space="preserve">纳入计算
</t>
    </r>
    <r>
      <rPr>
        <b/>
        <sz val="7"/>
        <rFont val="Microsoft YaHei"/>
        <charset val="134"/>
      </rPr>
      <t>的课程数</t>
    </r>
  </si>
  <si>
    <r>
      <rPr>
        <b/>
        <sz val="7"/>
        <rFont val="Microsoft YaHei"/>
        <charset val="134"/>
      </rPr>
      <t xml:space="preserve">纳入计算课程
</t>
    </r>
    <r>
      <rPr>
        <b/>
        <sz val="7"/>
        <rFont val="Microsoft YaHei"/>
        <charset val="134"/>
      </rPr>
      <t>获得总学分</t>
    </r>
  </si>
  <si>
    <r>
      <rPr>
        <b/>
        <sz val="7"/>
        <rFont val="Microsoft YaHei"/>
        <charset val="134"/>
      </rPr>
      <t xml:space="preserve">不及格课
</t>
    </r>
    <r>
      <rPr>
        <b/>
        <sz val="7"/>
        <rFont val="Microsoft YaHei"/>
        <charset val="134"/>
      </rPr>
      <t>程门数</t>
    </r>
  </si>
  <si>
    <r>
      <rPr>
        <b/>
        <sz val="7"/>
        <rFont val="Microsoft YaHei"/>
        <charset val="134"/>
      </rPr>
      <t xml:space="preserve">不及格课
</t>
    </r>
    <r>
      <rPr>
        <b/>
        <sz val="7"/>
        <rFont val="Microsoft YaHei"/>
        <charset val="134"/>
      </rPr>
      <t xml:space="preserve">程已通过
</t>
    </r>
    <r>
      <rPr>
        <b/>
        <sz val="7"/>
        <rFont val="Microsoft YaHei"/>
        <charset val="134"/>
      </rPr>
      <t>门数</t>
    </r>
  </si>
  <si>
    <r>
      <rPr>
        <b/>
        <sz val="7"/>
        <rFont val="Microsoft YaHei"/>
        <charset val="134"/>
      </rPr>
      <t xml:space="preserve">是否通过全
</t>
    </r>
    <r>
      <rPr>
        <b/>
        <sz val="7"/>
        <rFont val="Microsoft YaHei"/>
        <charset val="134"/>
      </rPr>
      <t xml:space="preserve">国大学英语
</t>
    </r>
    <r>
      <rPr>
        <b/>
        <sz val="7"/>
        <rFont val="Microsoft YaHei"/>
        <charset val="134"/>
      </rPr>
      <t>四级</t>
    </r>
  </si>
  <si>
    <t>第1学期其他表现</t>
    <phoneticPr fontId="1" type="noConversion"/>
  </si>
  <si>
    <t>第2学期其他表现</t>
  </si>
  <si>
    <t>第3学期其他表现</t>
  </si>
  <si>
    <t>第4学期其他表现</t>
  </si>
  <si>
    <t>第5学期其他表现</t>
  </si>
  <si>
    <t>第6学期其他表现</t>
  </si>
  <si>
    <t>其他表现成绩</t>
    <phoneticPr fontId="1" type="noConversion"/>
  </si>
  <si>
    <r>
      <rPr>
        <b/>
        <sz val="7"/>
        <rFont val="Microsoft YaHei"/>
        <charset val="134"/>
      </rPr>
      <t xml:space="preserve">其他表现
</t>
    </r>
    <r>
      <rPr>
        <b/>
        <sz val="7"/>
        <rFont val="Microsoft YaHei"/>
        <charset val="134"/>
      </rPr>
      <t>排名名次</t>
    </r>
  </si>
  <si>
    <t>综合成绩</t>
    <phoneticPr fontId="1" type="noConversion"/>
  </si>
  <si>
    <r>
      <rPr>
        <b/>
        <sz val="7"/>
        <rFont val="Microsoft YaHei"/>
        <charset val="134"/>
      </rPr>
      <t xml:space="preserve">综合
</t>
    </r>
    <r>
      <rPr>
        <b/>
        <sz val="7"/>
        <rFont val="Microsoft YaHei"/>
        <charset val="134"/>
      </rPr>
      <t>成绩</t>
    </r>
  </si>
  <si>
    <r>
      <rPr>
        <b/>
        <sz val="7"/>
        <rFont val="Microsoft YaHei"/>
        <charset val="134"/>
      </rPr>
      <t xml:space="preserve">综合排名
</t>
    </r>
    <r>
      <rPr>
        <b/>
        <sz val="7"/>
        <rFont val="Microsoft YaHei"/>
        <charset val="134"/>
      </rPr>
      <t>名次</t>
    </r>
  </si>
  <si>
    <r>
      <rPr>
        <b/>
        <sz val="7"/>
        <rFont val="Microsoft YaHei"/>
        <charset val="134"/>
      </rPr>
      <t xml:space="preserve">排名
</t>
    </r>
    <r>
      <rPr>
        <b/>
        <sz val="7"/>
        <rFont val="Microsoft YaHei"/>
        <charset val="134"/>
      </rPr>
      <t>人数</t>
    </r>
  </si>
  <si>
    <r>
      <rPr>
        <b/>
        <sz val="7"/>
        <rFont val="Microsoft YaHei"/>
        <charset val="134"/>
      </rPr>
      <t>专业</t>
    </r>
  </si>
  <si>
    <r>
      <rPr>
        <b/>
        <sz val="7"/>
        <rFont val="Microsoft YaHei"/>
        <charset val="134"/>
      </rPr>
      <t>备注</t>
    </r>
  </si>
  <si>
    <r>
      <rPr>
        <sz val="6"/>
        <rFont val="SimSun"/>
        <charset val="134"/>
      </rPr>
      <t>张倬熙</t>
    </r>
  </si>
  <si>
    <r>
      <rPr>
        <sz val="6"/>
        <rFont val="SimSun"/>
        <charset val="134"/>
      </rPr>
      <t>是</t>
    </r>
  </si>
  <si>
    <r>
      <rPr>
        <sz val="6"/>
        <rFont val="SimSun"/>
        <charset val="134"/>
      </rPr>
      <t>车辆工程</t>
    </r>
  </si>
  <si>
    <r>
      <rPr>
        <sz val="6"/>
        <rFont val="SimSun"/>
        <charset val="134"/>
      </rPr>
      <t>张子凯</t>
    </r>
  </si>
  <si>
    <r>
      <rPr>
        <sz val="6"/>
        <rFont val="SimSun"/>
        <charset val="134"/>
      </rPr>
      <t>张焱鑫</t>
    </r>
  </si>
  <si>
    <r>
      <rPr>
        <sz val="6"/>
        <rFont val="SimSun"/>
        <charset val="134"/>
      </rPr>
      <t>杨轶铭</t>
    </r>
  </si>
  <si>
    <r>
      <rPr>
        <sz val="6"/>
        <rFont val="SimSun"/>
        <charset val="134"/>
      </rPr>
      <t>李鑫</t>
    </r>
  </si>
  <si>
    <r>
      <rPr>
        <sz val="6"/>
        <rFont val="SimSun"/>
        <charset val="134"/>
      </rPr>
      <t>王乐桐</t>
    </r>
  </si>
  <si>
    <r>
      <rPr>
        <sz val="6"/>
        <rFont val="SimSun"/>
        <charset val="134"/>
      </rPr>
      <t>蒋濮羽</t>
    </r>
  </si>
  <si>
    <r>
      <rPr>
        <sz val="6"/>
        <rFont val="SimSun"/>
        <charset val="134"/>
      </rPr>
      <t>徐雷</t>
    </r>
  </si>
  <si>
    <r>
      <rPr>
        <sz val="6"/>
        <rFont val="SimSun"/>
        <charset val="134"/>
      </rPr>
      <t>王星媛</t>
    </r>
  </si>
  <si>
    <r>
      <rPr>
        <sz val="6"/>
        <rFont val="SimSun"/>
        <charset val="134"/>
      </rPr>
      <t>尹梦萍</t>
    </r>
  </si>
  <si>
    <r>
      <rPr>
        <sz val="6"/>
        <rFont val="SimSun"/>
        <charset val="134"/>
      </rPr>
      <t>谭星宇</t>
    </r>
  </si>
  <si>
    <r>
      <rPr>
        <sz val="6"/>
        <rFont val="SimSun"/>
        <charset val="134"/>
      </rPr>
      <t>张建鹏</t>
    </r>
  </si>
  <si>
    <r>
      <rPr>
        <sz val="6"/>
        <rFont val="SimSun"/>
        <charset val="134"/>
      </rPr>
      <t>韩金言</t>
    </r>
  </si>
  <si>
    <r>
      <rPr>
        <sz val="6"/>
        <rFont val="SimSun"/>
        <charset val="134"/>
      </rPr>
      <t>寸涛鸣</t>
    </r>
  </si>
  <si>
    <r>
      <rPr>
        <sz val="6"/>
        <rFont val="SimSun"/>
        <charset val="134"/>
      </rPr>
      <t>钟宇宸</t>
    </r>
  </si>
  <si>
    <r>
      <rPr>
        <sz val="6"/>
        <rFont val="SimSun"/>
        <charset val="134"/>
      </rPr>
      <t>王为鸣</t>
    </r>
  </si>
  <si>
    <r>
      <rPr>
        <sz val="6"/>
        <rFont val="SimSun"/>
        <charset val="134"/>
      </rPr>
      <t>姜政宇</t>
    </r>
  </si>
  <si>
    <r>
      <rPr>
        <sz val="6"/>
        <rFont val="SimSun"/>
        <charset val="134"/>
      </rPr>
      <t>杨昇</t>
    </r>
  </si>
  <si>
    <r>
      <rPr>
        <sz val="6"/>
        <rFont val="SimSun"/>
        <charset val="134"/>
      </rPr>
      <t>彭琛朗</t>
    </r>
  </si>
  <si>
    <r>
      <rPr>
        <sz val="6"/>
        <rFont val="SimSun"/>
        <charset val="134"/>
      </rPr>
      <t>罗浩然</t>
    </r>
  </si>
  <si>
    <r>
      <rPr>
        <sz val="6"/>
        <rFont val="SimSun"/>
        <charset val="134"/>
      </rPr>
      <t>张焕纯</t>
    </r>
  </si>
  <si>
    <r>
      <rPr>
        <sz val="6"/>
        <rFont val="SimSun"/>
        <charset val="134"/>
      </rPr>
      <t>仇自羽</t>
    </r>
  </si>
  <si>
    <r>
      <rPr>
        <sz val="6"/>
        <rFont val="SimSun"/>
        <charset val="134"/>
      </rPr>
      <t>王敬源</t>
    </r>
  </si>
  <si>
    <r>
      <rPr>
        <sz val="6"/>
        <rFont val="SimSun"/>
        <charset val="134"/>
      </rPr>
      <t>何宣佐</t>
    </r>
  </si>
  <si>
    <r>
      <rPr>
        <sz val="6"/>
        <rFont val="SimSun"/>
        <charset val="134"/>
      </rPr>
      <t>尹毅</t>
    </r>
  </si>
  <si>
    <r>
      <rPr>
        <sz val="6"/>
        <rFont val="SimSun"/>
        <charset val="134"/>
      </rPr>
      <t>杨光</t>
    </r>
  </si>
  <si>
    <r>
      <rPr>
        <sz val="6"/>
        <rFont val="SimSun"/>
        <charset val="134"/>
      </rPr>
      <t>邹子航</t>
    </r>
  </si>
  <si>
    <r>
      <rPr>
        <sz val="6"/>
        <rFont val="SimSun"/>
        <charset val="134"/>
      </rPr>
      <t>陈天润</t>
    </r>
  </si>
  <si>
    <r>
      <rPr>
        <sz val="6"/>
        <rFont val="SimSun"/>
        <charset val="134"/>
      </rPr>
      <t>陈佳楠</t>
    </r>
  </si>
  <si>
    <r>
      <rPr>
        <sz val="6"/>
        <rFont val="SimSun"/>
        <charset val="134"/>
      </rPr>
      <t>曹清淞</t>
    </r>
  </si>
  <si>
    <r>
      <rPr>
        <sz val="6"/>
        <rFont val="SimSun"/>
        <charset val="134"/>
      </rPr>
      <t>王子卿</t>
    </r>
  </si>
  <si>
    <r>
      <rPr>
        <sz val="6"/>
        <rFont val="SimSun"/>
        <charset val="134"/>
      </rPr>
      <t>陈俊利</t>
    </r>
  </si>
  <si>
    <r>
      <rPr>
        <sz val="6"/>
        <rFont val="SimSun"/>
        <charset val="134"/>
      </rPr>
      <t>沈哲彦</t>
    </r>
  </si>
  <si>
    <r>
      <rPr>
        <sz val="6"/>
        <rFont val="SimSun"/>
        <charset val="134"/>
      </rPr>
      <t>徐潇怡</t>
    </r>
  </si>
  <si>
    <r>
      <rPr>
        <sz val="6"/>
        <rFont val="SimSun"/>
        <charset val="134"/>
      </rPr>
      <t>谌力</t>
    </r>
  </si>
  <si>
    <r>
      <rPr>
        <sz val="6"/>
        <rFont val="SimSun"/>
        <charset val="134"/>
      </rPr>
      <t>罗薇</t>
    </r>
  </si>
  <si>
    <r>
      <rPr>
        <sz val="6"/>
        <rFont val="SimSun"/>
        <charset val="134"/>
      </rPr>
      <t>暴雨泽</t>
    </r>
  </si>
  <si>
    <r>
      <rPr>
        <sz val="6"/>
        <rFont val="SimSun"/>
        <charset val="134"/>
      </rPr>
      <t>陈禹男</t>
    </r>
  </si>
  <si>
    <r>
      <rPr>
        <sz val="6"/>
        <rFont val="SimSun"/>
        <charset val="134"/>
      </rPr>
      <t>蒋淞羽</t>
    </r>
  </si>
  <si>
    <r>
      <rPr>
        <sz val="6"/>
        <rFont val="SimSun"/>
        <charset val="134"/>
      </rPr>
      <t>闻方银</t>
    </r>
  </si>
  <si>
    <r>
      <rPr>
        <sz val="6"/>
        <rFont val="SimSun"/>
        <charset val="134"/>
      </rPr>
      <t>麦钰淋</t>
    </r>
  </si>
  <si>
    <r>
      <rPr>
        <sz val="6"/>
        <rFont val="SimSun"/>
        <charset val="134"/>
      </rPr>
      <t>罗雨婷</t>
    </r>
  </si>
  <si>
    <r>
      <rPr>
        <sz val="6"/>
        <rFont val="SimSun"/>
        <charset val="134"/>
      </rPr>
      <t>李夏昕</t>
    </r>
  </si>
  <si>
    <r>
      <rPr>
        <sz val="6"/>
        <rFont val="SimSun"/>
        <charset val="134"/>
      </rPr>
      <t>于皓冰</t>
    </r>
  </si>
  <si>
    <r>
      <rPr>
        <sz val="6"/>
        <rFont val="SimSun"/>
        <charset val="134"/>
      </rPr>
      <t>钟雨凌</t>
    </r>
  </si>
  <si>
    <r>
      <rPr>
        <sz val="6"/>
        <rFont val="SimSun"/>
        <charset val="134"/>
      </rPr>
      <t>舒详淋</t>
    </r>
  </si>
  <si>
    <r>
      <rPr>
        <sz val="6"/>
        <rFont val="SimSun"/>
        <charset val="134"/>
      </rPr>
      <t>李君锋</t>
    </r>
  </si>
  <si>
    <r>
      <rPr>
        <sz val="6"/>
        <rFont val="SimSun"/>
        <charset val="134"/>
      </rPr>
      <t>周明霞</t>
    </r>
  </si>
  <si>
    <r>
      <rPr>
        <sz val="6"/>
        <rFont val="SimSun"/>
        <charset val="134"/>
      </rPr>
      <t>黄虹琳</t>
    </r>
  </si>
  <si>
    <r>
      <rPr>
        <sz val="6"/>
        <rFont val="SimSun"/>
        <charset val="134"/>
      </rPr>
      <t>郭宇轩</t>
    </r>
  </si>
  <si>
    <r>
      <rPr>
        <sz val="6"/>
        <rFont val="SimSun"/>
        <charset val="134"/>
      </rPr>
      <t>周姜</t>
    </r>
  </si>
  <si>
    <r>
      <rPr>
        <sz val="6"/>
        <rFont val="SimSun"/>
        <charset val="134"/>
      </rPr>
      <t>王伟威</t>
    </r>
  </si>
  <si>
    <r>
      <rPr>
        <sz val="6"/>
        <rFont val="SimSun"/>
        <charset val="134"/>
      </rPr>
      <t>闫天傲</t>
    </r>
  </si>
  <si>
    <r>
      <rPr>
        <sz val="6"/>
        <rFont val="SimSun"/>
        <charset val="134"/>
      </rPr>
      <t>李岳鸿</t>
    </r>
  </si>
  <si>
    <r>
      <rPr>
        <sz val="6"/>
        <rFont val="SimSun"/>
        <charset val="134"/>
      </rPr>
      <t>魏志先</t>
    </r>
  </si>
  <si>
    <r>
      <rPr>
        <sz val="6"/>
        <rFont val="SimSun"/>
        <charset val="134"/>
      </rPr>
      <t>覃薇菲</t>
    </r>
  </si>
  <si>
    <r>
      <rPr>
        <sz val="6"/>
        <rFont val="SimSun"/>
        <charset val="134"/>
      </rPr>
      <t>王佳仪</t>
    </r>
  </si>
  <si>
    <r>
      <rPr>
        <sz val="6"/>
        <rFont val="SimSun"/>
        <charset val="134"/>
      </rPr>
      <t>王映淳</t>
    </r>
  </si>
  <si>
    <r>
      <rPr>
        <sz val="6"/>
        <rFont val="SimSun"/>
        <charset val="134"/>
      </rPr>
      <t>付佳成</t>
    </r>
  </si>
  <si>
    <r>
      <rPr>
        <sz val="6"/>
        <rFont val="SimSun"/>
        <charset val="134"/>
      </rPr>
      <t>赵一婷</t>
    </r>
  </si>
  <si>
    <r>
      <rPr>
        <sz val="6"/>
        <rFont val="SimSun"/>
        <charset val="134"/>
      </rPr>
      <t>周宗鑫</t>
    </r>
  </si>
  <si>
    <r>
      <rPr>
        <sz val="6"/>
        <rFont val="SimSun"/>
        <charset val="134"/>
      </rPr>
      <t>姚烨</t>
    </r>
  </si>
  <si>
    <r>
      <rPr>
        <sz val="6"/>
        <rFont val="SimSun"/>
        <charset val="134"/>
      </rPr>
      <t>杨照</t>
    </r>
  </si>
  <si>
    <r>
      <rPr>
        <sz val="6"/>
        <rFont val="SimSun"/>
        <charset val="134"/>
      </rPr>
      <t>杨雨润</t>
    </r>
  </si>
  <si>
    <r>
      <rPr>
        <sz val="6"/>
        <rFont val="SimSun"/>
        <charset val="134"/>
      </rPr>
      <t>车睿</t>
    </r>
  </si>
  <si>
    <r>
      <rPr>
        <sz val="6"/>
        <rFont val="SimSun"/>
        <charset val="134"/>
      </rPr>
      <t>王建锟</t>
    </r>
  </si>
  <si>
    <r>
      <rPr>
        <sz val="6"/>
        <rFont val="SimSun"/>
        <charset val="134"/>
      </rPr>
      <t>廖世敏</t>
    </r>
  </si>
  <si>
    <r>
      <rPr>
        <sz val="6"/>
        <rFont val="SimSun"/>
        <charset val="134"/>
      </rPr>
      <t>陈伟杰</t>
    </r>
  </si>
  <si>
    <r>
      <rPr>
        <sz val="6"/>
        <rFont val="SimSun"/>
        <charset val="134"/>
      </rPr>
      <t>否</t>
    </r>
  </si>
  <si>
    <r>
      <rPr>
        <sz val="6"/>
        <rFont val="SimSun"/>
        <charset val="134"/>
      </rPr>
      <t>周一多</t>
    </r>
  </si>
  <si>
    <r>
      <rPr>
        <sz val="6"/>
        <rFont val="SimSun"/>
        <charset val="134"/>
      </rPr>
      <t>张恒</t>
    </r>
  </si>
  <si>
    <r>
      <rPr>
        <sz val="6"/>
        <rFont val="SimSun"/>
        <charset val="134"/>
      </rPr>
      <t>胥健</t>
    </r>
  </si>
  <si>
    <r>
      <rPr>
        <sz val="6"/>
        <rFont val="SimSun"/>
        <charset val="134"/>
      </rPr>
      <t>高梓翔</t>
    </r>
  </si>
  <si>
    <r>
      <rPr>
        <sz val="6"/>
        <rFont val="SimSun"/>
        <charset val="134"/>
      </rPr>
      <t>王明洋</t>
    </r>
  </si>
  <si>
    <r>
      <rPr>
        <sz val="6"/>
        <rFont val="SimSun"/>
        <charset val="134"/>
      </rPr>
      <t>孙源</t>
    </r>
  </si>
  <si>
    <r>
      <rPr>
        <sz val="6"/>
        <rFont val="SimSun"/>
        <charset val="134"/>
      </rPr>
      <t>黄广</t>
    </r>
  </si>
  <si>
    <r>
      <rPr>
        <sz val="6"/>
        <rFont val="SimSun"/>
        <charset val="134"/>
      </rPr>
      <t>后冉杰</t>
    </r>
  </si>
  <si>
    <r>
      <rPr>
        <sz val="6"/>
        <rFont val="SimSun"/>
        <charset val="134"/>
      </rPr>
      <t>徐传东</t>
    </r>
  </si>
  <si>
    <r>
      <rPr>
        <sz val="6"/>
        <rFont val="SimSun"/>
        <charset val="134"/>
      </rPr>
      <t>张胤泓</t>
    </r>
  </si>
  <si>
    <r>
      <rPr>
        <sz val="6"/>
        <rFont val="SimSun"/>
        <charset val="134"/>
      </rPr>
      <t>钟宇皓</t>
    </r>
  </si>
  <si>
    <r>
      <rPr>
        <sz val="6"/>
        <rFont val="SimSun"/>
        <charset val="134"/>
      </rPr>
      <t>赵骏林</t>
    </r>
  </si>
  <si>
    <r>
      <rPr>
        <sz val="6"/>
        <rFont val="SimSun"/>
        <charset val="134"/>
      </rPr>
      <t>张熙源</t>
    </r>
  </si>
  <si>
    <r>
      <rPr>
        <sz val="6"/>
        <rFont val="SimSun"/>
        <charset val="134"/>
      </rPr>
      <t>韦懿桐</t>
    </r>
  </si>
  <si>
    <r>
      <rPr>
        <sz val="6"/>
        <rFont val="SimSun"/>
        <charset val="134"/>
      </rPr>
      <t>石晋硕</t>
    </r>
  </si>
  <si>
    <r>
      <rPr>
        <sz val="6"/>
        <rFont val="SimSun"/>
        <charset val="134"/>
      </rPr>
      <t>邓迦</t>
    </r>
  </si>
  <si>
    <r>
      <rPr>
        <sz val="6"/>
        <rFont val="SimSun"/>
        <charset val="134"/>
      </rPr>
      <t>陈奕</t>
    </r>
  </si>
  <si>
    <r>
      <rPr>
        <sz val="6"/>
        <rFont val="SimSun"/>
        <charset val="134"/>
      </rPr>
      <t>王耀</t>
    </r>
  </si>
  <si>
    <r>
      <rPr>
        <sz val="6"/>
        <rFont val="SimSun"/>
        <charset val="134"/>
      </rPr>
      <t>袁博</t>
    </r>
  </si>
  <si>
    <r>
      <rPr>
        <sz val="6"/>
        <rFont val="SimSun"/>
        <charset val="134"/>
      </rPr>
      <t>李煜纯</t>
    </r>
  </si>
  <si>
    <r>
      <rPr>
        <sz val="6"/>
        <rFont val="SimSun"/>
        <charset val="134"/>
      </rPr>
      <t>王世堃</t>
    </r>
  </si>
  <si>
    <r>
      <rPr>
        <sz val="6"/>
        <rFont val="SimSun"/>
        <charset val="134"/>
      </rPr>
      <t>代德睿</t>
    </r>
  </si>
  <si>
    <r>
      <rPr>
        <sz val="6"/>
        <rFont val="SimSun"/>
        <charset val="134"/>
      </rPr>
      <t>陈高中</t>
    </r>
  </si>
  <si>
    <r>
      <rPr>
        <sz val="6"/>
        <rFont val="SimSun"/>
        <charset val="134"/>
      </rPr>
      <t>左俊弈</t>
    </r>
  </si>
  <si>
    <r>
      <rPr>
        <sz val="6"/>
        <rFont val="SimSun"/>
        <charset val="134"/>
      </rPr>
      <t>陈鹏宇</t>
    </r>
  </si>
  <si>
    <r>
      <rPr>
        <sz val="6"/>
        <rFont val="SimSun"/>
        <charset val="134"/>
      </rPr>
      <t>张亿楠</t>
    </r>
  </si>
  <si>
    <r>
      <rPr>
        <sz val="6"/>
        <rFont val="SimSun"/>
        <charset val="134"/>
      </rPr>
      <t>傅柏翰</t>
    </r>
  </si>
  <si>
    <r>
      <rPr>
        <sz val="6"/>
        <rFont val="SimSun"/>
        <charset val="134"/>
      </rPr>
      <t>王国伟</t>
    </r>
  </si>
  <si>
    <r>
      <rPr>
        <sz val="6"/>
        <rFont val="SimSun"/>
        <charset val="134"/>
      </rPr>
      <t>工业工程</t>
    </r>
  </si>
  <si>
    <r>
      <rPr>
        <sz val="6"/>
        <rFont val="SimSun"/>
        <charset val="134"/>
      </rPr>
      <t>王瑞林</t>
    </r>
  </si>
  <si>
    <r>
      <rPr>
        <sz val="6"/>
        <rFont val="SimSun"/>
        <charset val="134"/>
      </rPr>
      <t>王雨函</t>
    </r>
  </si>
  <si>
    <r>
      <rPr>
        <sz val="6"/>
        <rFont val="SimSun"/>
        <charset val="134"/>
      </rPr>
      <t>邱爽</t>
    </r>
  </si>
  <si>
    <r>
      <rPr>
        <sz val="6"/>
        <rFont val="SimSun"/>
        <charset val="134"/>
      </rPr>
      <t>周小晶</t>
    </r>
  </si>
  <si>
    <r>
      <rPr>
        <sz val="6"/>
        <rFont val="SimSun"/>
        <charset val="134"/>
      </rPr>
      <t>刘繁冶</t>
    </r>
  </si>
  <si>
    <r>
      <rPr>
        <sz val="6"/>
        <rFont val="SimSun"/>
        <charset val="134"/>
      </rPr>
      <t>李金霖</t>
    </r>
  </si>
  <si>
    <r>
      <rPr>
        <sz val="6"/>
        <rFont val="SimSun"/>
        <charset val="134"/>
      </rPr>
      <t>雷濠远</t>
    </r>
  </si>
  <si>
    <r>
      <rPr>
        <sz val="6"/>
        <rFont val="SimSun"/>
        <charset val="134"/>
      </rPr>
      <t>唐瑞晗</t>
    </r>
  </si>
  <si>
    <r>
      <rPr>
        <sz val="6"/>
        <rFont val="SimSun"/>
        <charset val="134"/>
      </rPr>
      <t>张家溢</t>
    </r>
  </si>
  <si>
    <r>
      <rPr>
        <sz val="6"/>
        <rFont val="SimSun"/>
        <charset val="134"/>
      </rPr>
      <t>吴天宇</t>
    </r>
  </si>
  <si>
    <r>
      <rPr>
        <sz val="6"/>
        <rFont val="SimSun"/>
        <charset val="134"/>
      </rPr>
      <t>陈彦元</t>
    </r>
  </si>
  <si>
    <r>
      <rPr>
        <sz val="6"/>
        <rFont val="SimSun"/>
        <charset val="134"/>
      </rPr>
      <t>张明月</t>
    </r>
  </si>
  <si>
    <r>
      <rPr>
        <sz val="6"/>
        <rFont val="SimSun"/>
        <charset val="134"/>
      </rPr>
      <t>张美鑫</t>
    </r>
  </si>
  <si>
    <r>
      <rPr>
        <sz val="6"/>
        <rFont val="SimSun"/>
        <charset val="134"/>
      </rPr>
      <t>刘劲菘</t>
    </r>
  </si>
  <si>
    <r>
      <rPr>
        <sz val="6"/>
        <rFont val="SimSun"/>
        <charset val="134"/>
      </rPr>
      <t>袁威</t>
    </r>
  </si>
  <si>
    <r>
      <rPr>
        <sz val="6"/>
        <rFont val="SimSun"/>
        <charset val="134"/>
      </rPr>
      <t>李鹏</t>
    </r>
  </si>
  <si>
    <r>
      <rPr>
        <sz val="6"/>
        <rFont val="SimSun"/>
        <charset val="134"/>
      </rPr>
      <t>李凌杰</t>
    </r>
  </si>
  <si>
    <r>
      <rPr>
        <sz val="6"/>
        <rFont val="SimSun"/>
        <charset val="134"/>
      </rPr>
      <t>舒妍妍</t>
    </r>
  </si>
  <si>
    <r>
      <rPr>
        <sz val="6"/>
        <rFont val="SimSun"/>
        <charset val="134"/>
      </rPr>
      <t>鄭凱文</t>
    </r>
  </si>
  <si>
    <r>
      <rPr>
        <sz val="6"/>
        <rFont val="SimSun"/>
        <charset val="134"/>
      </rPr>
      <t>刘顺钦</t>
    </r>
  </si>
  <si>
    <r>
      <rPr>
        <sz val="6"/>
        <rFont val="SimSun"/>
        <charset val="134"/>
      </rPr>
      <t>严远昱</t>
    </r>
  </si>
  <si>
    <r>
      <rPr>
        <sz val="6"/>
        <rFont val="SimSun"/>
        <charset val="134"/>
      </rPr>
      <t>罗勋康</t>
    </r>
  </si>
  <si>
    <r>
      <rPr>
        <sz val="6"/>
        <rFont val="SimSun"/>
        <charset val="134"/>
      </rPr>
      <t>谢佳铭</t>
    </r>
  </si>
  <si>
    <r>
      <rPr>
        <sz val="6"/>
        <rFont val="SimSun"/>
        <charset val="134"/>
      </rPr>
      <t>张佳昊</t>
    </r>
  </si>
  <si>
    <r>
      <rPr>
        <sz val="6"/>
        <rFont val="SimSun"/>
        <charset val="134"/>
      </rPr>
      <t>田雨清</t>
    </r>
  </si>
  <si>
    <r>
      <rPr>
        <sz val="6"/>
        <rFont val="SimSun"/>
        <charset val="134"/>
      </rPr>
      <t>郭佳</t>
    </r>
  </si>
  <si>
    <r>
      <rPr>
        <sz val="6"/>
        <rFont val="SimSun"/>
        <charset val="134"/>
      </rPr>
      <t>代兵</t>
    </r>
  </si>
  <si>
    <r>
      <rPr>
        <sz val="6"/>
        <rFont val="SimSun"/>
        <charset val="134"/>
      </rPr>
      <t>范泽暄</t>
    </r>
  </si>
  <si>
    <r>
      <rPr>
        <sz val="6"/>
        <rFont val="SimSun"/>
        <charset val="134"/>
      </rPr>
      <t>洪小雨</t>
    </r>
  </si>
  <si>
    <r>
      <rPr>
        <sz val="6"/>
        <rFont val="SimSun"/>
        <charset val="134"/>
      </rPr>
      <t>机械工程</t>
    </r>
  </si>
  <si>
    <r>
      <rPr>
        <sz val="6"/>
        <rFont val="SimSun"/>
        <charset val="134"/>
      </rPr>
      <t>唐邱扬</t>
    </r>
  </si>
  <si>
    <r>
      <rPr>
        <sz val="6"/>
        <rFont val="SimSun"/>
        <charset val="134"/>
      </rPr>
      <t>李宏博</t>
    </r>
  </si>
  <si>
    <r>
      <rPr>
        <sz val="6"/>
        <rFont val="SimSun"/>
        <charset val="134"/>
      </rPr>
      <t>侯云翔</t>
    </r>
  </si>
  <si>
    <r>
      <rPr>
        <sz val="6"/>
        <rFont val="SimSun"/>
        <charset val="134"/>
      </rPr>
      <t>刘铁彦</t>
    </r>
  </si>
  <si>
    <r>
      <rPr>
        <sz val="6"/>
        <rFont val="SimSun"/>
        <charset val="134"/>
      </rPr>
      <t>林子扬</t>
    </r>
  </si>
  <si>
    <r>
      <rPr>
        <sz val="6"/>
        <rFont val="SimSun"/>
        <charset val="134"/>
      </rPr>
      <t>肖凯天</t>
    </r>
  </si>
  <si>
    <r>
      <rPr>
        <sz val="6"/>
        <rFont val="SimSun"/>
        <charset val="134"/>
      </rPr>
      <t>杜倩荣</t>
    </r>
  </si>
  <si>
    <r>
      <rPr>
        <sz val="6"/>
        <rFont val="SimSun"/>
        <charset val="134"/>
      </rPr>
      <t>谷沐禹</t>
    </r>
  </si>
  <si>
    <r>
      <rPr>
        <sz val="6"/>
        <rFont val="SimSun"/>
        <charset val="134"/>
      </rPr>
      <t>朱海</t>
    </r>
  </si>
  <si>
    <r>
      <rPr>
        <sz val="6"/>
        <rFont val="SimSun"/>
        <charset val="134"/>
      </rPr>
      <t>贾智翔</t>
    </r>
  </si>
  <si>
    <r>
      <rPr>
        <sz val="6"/>
        <rFont val="SimSun"/>
        <charset val="134"/>
      </rPr>
      <t>杨禹皓</t>
    </r>
  </si>
  <si>
    <r>
      <rPr>
        <sz val="6"/>
        <rFont val="SimSun"/>
        <charset val="134"/>
      </rPr>
      <t>肖文博</t>
    </r>
  </si>
  <si>
    <r>
      <rPr>
        <sz val="6"/>
        <rFont val="SimSun"/>
        <charset val="134"/>
      </rPr>
      <t>邹元杰</t>
    </r>
  </si>
  <si>
    <r>
      <rPr>
        <sz val="6"/>
        <rFont val="SimSun"/>
        <charset val="134"/>
      </rPr>
      <t>刘俊雄</t>
    </r>
  </si>
  <si>
    <r>
      <rPr>
        <sz val="6"/>
        <rFont val="SimSun"/>
        <charset val="134"/>
      </rPr>
      <t>唐明旭</t>
    </r>
  </si>
  <si>
    <r>
      <rPr>
        <sz val="6"/>
        <rFont val="SimSun"/>
        <charset val="134"/>
      </rPr>
      <t>韦颉</t>
    </r>
  </si>
  <si>
    <r>
      <rPr>
        <sz val="6"/>
        <rFont val="SimSun"/>
        <charset val="134"/>
      </rPr>
      <t>崔庆瞻</t>
    </r>
  </si>
  <si>
    <r>
      <rPr>
        <sz val="6"/>
        <rFont val="SimSun"/>
        <charset val="134"/>
      </rPr>
      <t>李夏雨</t>
    </r>
  </si>
  <si>
    <r>
      <rPr>
        <sz val="6"/>
        <rFont val="SimSun"/>
        <charset val="134"/>
      </rPr>
      <t>韦迎新</t>
    </r>
  </si>
  <si>
    <r>
      <rPr>
        <sz val="6"/>
        <rFont val="SimSun"/>
        <charset val="134"/>
      </rPr>
      <t>熊世宸</t>
    </r>
  </si>
  <si>
    <r>
      <rPr>
        <sz val="6"/>
        <rFont val="SimSun"/>
        <charset val="134"/>
      </rPr>
      <t>夏琪淇</t>
    </r>
  </si>
  <si>
    <r>
      <rPr>
        <sz val="6"/>
        <rFont val="SimSun"/>
        <charset val="134"/>
      </rPr>
      <t>段练</t>
    </r>
  </si>
  <si>
    <r>
      <rPr>
        <sz val="6"/>
        <rFont val="SimSun"/>
        <charset val="134"/>
      </rPr>
      <t>杨子萱</t>
    </r>
  </si>
  <si>
    <r>
      <rPr>
        <sz val="6"/>
        <rFont val="SimSun"/>
        <charset val="134"/>
      </rPr>
      <t>李在天</t>
    </r>
  </si>
  <si>
    <r>
      <rPr>
        <sz val="6"/>
        <rFont val="SimSun"/>
        <charset val="134"/>
      </rPr>
      <t>赵奕智</t>
    </r>
  </si>
  <si>
    <r>
      <rPr>
        <sz val="6"/>
        <rFont val="SimSun"/>
        <charset val="134"/>
      </rPr>
      <t>周峻羽</t>
    </r>
  </si>
  <si>
    <r>
      <rPr>
        <sz val="6"/>
        <rFont val="SimSun"/>
        <charset val="134"/>
      </rPr>
      <t>汪品</t>
    </r>
  </si>
  <si>
    <r>
      <rPr>
        <sz val="6"/>
        <rFont val="SimSun"/>
        <charset val="134"/>
      </rPr>
      <t>罗仁健</t>
    </r>
  </si>
  <si>
    <r>
      <rPr>
        <sz val="6"/>
        <rFont val="SimSun"/>
        <charset val="134"/>
      </rPr>
      <t>戴隆煊</t>
    </r>
  </si>
  <si>
    <r>
      <rPr>
        <sz val="6"/>
        <rFont val="SimSun"/>
        <charset val="134"/>
      </rPr>
      <t>王镜然</t>
    </r>
  </si>
  <si>
    <r>
      <rPr>
        <sz val="6"/>
        <rFont val="SimSun"/>
        <charset val="134"/>
      </rPr>
      <t>桑春月</t>
    </r>
  </si>
  <si>
    <r>
      <rPr>
        <sz val="6"/>
        <rFont val="SimSun"/>
        <charset val="134"/>
      </rPr>
      <t>梁靖旭</t>
    </r>
  </si>
  <si>
    <r>
      <rPr>
        <sz val="6"/>
        <rFont val="SimSun"/>
        <charset val="134"/>
      </rPr>
      <t>司常锐</t>
    </r>
  </si>
  <si>
    <r>
      <rPr>
        <sz val="6"/>
        <rFont val="SimSun"/>
        <charset val="134"/>
      </rPr>
      <t>夏智豪</t>
    </r>
  </si>
  <si>
    <r>
      <rPr>
        <sz val="6"/>
        <rFont val="SimSun"/>
        <charset val="134"/>
      </rPr>
      <t>单子聪</t>
    </r>
  </si>
  <si>
    <r>
      <rPr>
        <sz val="6"/>
        <rFont val="SimSun"/>
        <charset val="134"/>
      </rPr>
      <t>喻韬</t>
    </r>
  </si>
  <si>
    <r>
      <rPr>
        <sz val="6"/>
        <rFont val="SimSun"/>
        <charset val="134"/>
      </rPr>
      <t>曾越</t>
    </r>
  </si>
  <si>
    <r>
      <rPr>
        <sz val="6"/>
        <rFont val="SimSun"/>
        <charset val="134"/>
      </rPr>
      <t>王一鸣</t>
    </r>
  </si>
  <si>
    <r>
      <rPr>
        <sz val="6"/>
        <rFont val="SimSun"/>
        <charset val="134"/>
      </rPr>
      <t>欧阳雯昕</t>
    </r>
  </si>
  <si>
    <r>
      <rPr>
        <sz val="6"/>
        <rFont val="SimSun"/>
        <charset val="134"/>
      </rPr>
      <t>甘俊晖</t>
    </r>
  </si>
  <si>
    <r>
      <rPr>
        <sz val="6"/>
        <rFont val="SimSun"/>
        <charset val="134"/>
      </rPr>
      <t>陈周冬</t>
    </r>
  </si>
  <si>
    <r>
      <rPr>
        <sz val="6"/>
        <rFont val="SimSun"/>
        <charset val="134"/>
      </rPr>
      <t>闫志远</t>
    </r>
  </si>
  <si>
    <r>
      <rPr>
        <sz val="6"/>
        <rFont val="SimSun"/>
        <charset val="134"/>
      </rPr>
      <t>范霄扬</t>
    </r>
  </si>
  <si>
    <r>
      <rPr>
        <sz val="6"/>
        <rFont val="SimSun"/>
        <charset val="134"/>
      </rPr>
      <t>孙卿皓</t>
    </r>
  </si>
  <si>
    <r>
      <rPr>
        <sz val="6"/>
        <rFont val="SimSun"/>
        <charset val="134"/>
      </rPr>
      <t>宋宇飞</t>
    </r>
  </si>
  <si>
    <r>
      <rPr>
        <sz val="6"/>
        <rFont val="SimSun"/>
        <charset val="134"/>
      </rPr>
      <t>杨鹏</t>
    </r>
  </si>
  <si>
    <r>
      <rPr>
        <sz val="6"/>
        <rFont val="SimSun"/>
        <charset val="134"/>
      </rPr>
      <t>张峰瑞</t>
    </r>
  </si>
  <si>
    <r>
      <rPr>
        <sz val="6"/>
        <rFont val="SimSun"/>
        <charset val="134"/>
      </rPr>
      <t>熊如丹</t>
    </r>
  </si>
  <si>
    <r>
      <rPr>
        <sz val="6"/>
        <rFont val="SimSun"/>
        <charset val="134"/>
      </rPr>
      <t>陈智博</t>
    </r>
  </si>
  <si>
    <r>
      <rPr>
        <sz val="6"/>
        <rFont val="SimSun"/>
        <charset val="134"/>
      </rPr>
      <t>李自强</t>
    </r>
  </si>
  <si>
    <r>
      <rPr>
        <sz val="6"/>
        <rFont val="SimSun"/>
        <charset val="134"/>
      </rPr>
      <t>李卓阳</t>
    </r>
  </si>
  <si>
    <r>
      <rPr>
        <sz val="6"/>
        <rFont val="SimSun"/>
        <charset val="134"/>
      </rPr>
      <t>陈政亨</t>
    </r>
  </si>
  <si>
    <r>
      <rPr>
        <sz val="6"/>
        <rFont val="SimSun"/>
        <charset val="134"/>
      </rPr>
      <t>姜智浩</t>
    </r>
  </si>
  <si>
    <r>
      <rPr>
        <sz val="6"/>
        <rFont val="SimSun"/>
        <charset val="134"/>
      </rPr>
      <t>苏泓午</t>
    </r>
  </si>
  <si>
    <r>
      <rPr>
        <sz val="6"/>
        <rFont val="SimSun"/>
        <charset val="134"/>
      </rPr>
      <t>李炎泽</t>
    </r>
  </si>
  <si>
    <r>
      <rPr>
        <sz val="6"/>
        <rFont val="SimSun"/>
        <charset val="134"/>
      </rPr>
      <t>杨博</t>
    </r>
  </si>
  <si>
    <r>
      <rPr>
        <sz val="6"/>
        <rFont val="SimSun"/>
        <charset val="134"/>
      </rPr>
      <t>彭双泉</t>
    </r>
  </si>
  <si>
    <r>
      <rPr>
        <sz val="6"/>
        <rFont val="SimSun"/>
        <charset val="134"/>
      </rPr>
      <t>阎听松</t>
    </r>
  </si>
  <si>
    <r>
      <rPr>
        <sz val="6"/>
        <rFont val="SimSun"/>
        <charset val="134"/>
      </rPr>
      <t>李彦澎</t>
    </r>
  </si>
  <si>
    <r>
      <rPr>
        <sz val="6"/>
        <rFont val="SimSun"/>
        <charset val="134"/>
      </rPr>
      <t>杨洪</t>
    </r>
  </si>
  <si>
    <r>
      <rPr>
        <sz val="6"/>
        <rFont val="SimSun"/>
        <charset val="134"/>
      </rPr>
      <t>刘宇航</t>
    </r>
  </si>
  <si>
    <r>
      <rPr>
        <sz val="6"/>
        <rFont val="SimSun"/>
        <charset val="134"/>
      </rPr>
      <t>张岑</t>
    </r>
  </si>
  <si>
    <r>
      <rPr>
        <sz val="6"/>
        <rFont val="SimSun"/>
        <charset val="134"/>
      </rPr>
      <t>李佳音</t>
    </r>
  </si>
  <si>
    <r>
      <rPr>
        <sz val="6"/>
        <rFont val="SimSun"/>
        <charset val="134"/>
      </rPr>
      <t>龚彤彤</t>
    </r>
  </si>
  <si>
    <r>
      <rPr>
        <sz val="6"/>
        <rFont val="SimSun"/>
        <charset val="134"/>
      </rPr>
      <t>彭子翀</t>
    </r>
  </si>
  <si>
    <r>
      <rPr>
        <sz val="6"/>
        <rFont val="SimSun"/>
        <charset val="134"/>
      </rPr>
      <t>谢涵达</t>
    </r>
  </si>
  <si>
    <r>
      <rPr>
        <sz val="6"/>
        <rFont val="SimSun"/>
        <charset val="134"/>
      </rPr>
      <t>普京</t>
    </r>
  </si>
  <si>
    <r>
      <rPr>
        <sz val="6"/>
        <rFont val="SimSun"/>
        <charset val="134"/>
      </rPr>
      <t>安芝麒</t>
    </r>
  </si>
  <si>
    <r>
      <rPr>
        <sz val="6"/>
        <rFont val="SimSun"/>
        <charset val="134"/>
      </rPr>
      <t>唐德瑞</t>
    </r>
  </si>
  <si>
    <r>
      <rPr>
        <sz val="6"/>
        <rFont val="SimSun"/>
        <charset val="134"/>
      </rPr>
      <t>袁聿辰</t>
    </r>
  </si>
  <si>
    <r>
      <rPr>
        <sz val="6"/>
        <rFont val="SimSun"/>
        <charset val="134"/>
      </rPr>
      <t>王帅琦</t>
    </r>
  </si>
  <si>
    <r>
      <rPr>
        <sz val="6"/>
        <rFont val="SimSun"/>
        <charset val="134"/>
      </rPr>
      <t>易星浩</t>
    </r>
  </si>
  <si>
    <r>
      <rPr>
        <sz val="6"/>
        <rFont val="SimSun"/>
        <charset val="134"/>
      </rPr>
      <t>王甫杰</t>
    </r>
  </si>
  <si>
    <r>
      <rPr>
        <sz val="6"/>
        <rFont val="SimSun"/>
        <charset val="134"/>
      </rPr>
      <t>龙治道</t>
    </r>
  </si>
  <si>
    <r>
      <rPr>
        <sz val="6"/>
        <rFont val="SimSun"/>
        <charset val="134"/>
      </rPr>
      <t>毛俊</t>
    </r>
  </si>
  <si>
    <r>
      <rPr>
        <sz val="6"/>
        <rFont val="SimSun"/>
        <charset val="134"/>
      </rPr>
      <t>汪珈民</t>
    </r>
  </si>
  <si>
    <r>
      <rPr>
        <sz val="6"/>
        <rFont val="SimSun"/>
        <charset val="134"/>
      </rPr>
      <t>徐其定</t>
    </r>
  </si>
  <si>
    <r>
      <rPr>
        <sz val="6"/>
        <rFont val="SimSun"/>
        <charset val="134"/>
      </rPr>
      <t>黄维韬</t>
    </r>
  </si>
  <si>
    <r>
      <rPr>
        <sz val="6"/>
        <rFont val="SimSun"/>
        <charset val="134"/>
      </rPr>
      <t>凌梓竣</t>
    </r>
  </si>
  <si>
    <r>
      <rPr>
        <sz val="6"/>
        <rFont val="SimSun"/>
        <charset val="134"/>
      </rPr>
      <t>王鹏</t>
    </r>
  </si>
  <si>
    <r>
      <rPr>
        <sz val="6"/>
        <rFont val="SimSun"/>
        <charset val="134"/>
      </rPr>
      <t>杨景淏</t>
    </r>
  </si>
  <si>
    <r>
      <rPr>
        <sz val="6"/>
        <rFont val="SimSun"/>
        <charset val="134"/>
      </rPr>
      <t>伊孜巴萨尔</t>
    </r>
    <r>
      <rPr>
        <sz val="6"/>
        <rFont val="Arial"/>
        <family val="2"/>
      </rPr>
      <t>·</t>
    </r>
    <r>
      <rPr>
        <sz val="6"/>
        <rFont val="SimSun"/>
        <charset val="134"/>
      </rPr>
      <t>艾山江</t>
    </r>
  </si>
  <si>
    <r>
      <rPr>
        <sz val="6"/>
        <rFont val="SimSun"/>
        <charset val="134"/>
      </rPr>
      <t>梁明宇</t>
    </r>
  </si>
  <si>
    <r>
      <rPr>
        <sz val="6"/>
        <rFont val="SimSun"/>
        <charset val="134"/>
      </rPr>
      <t>罗予婕</t>
    </r>
  </si>
  <si>
    <r>
      <rPr>
        <sz val="6"/>
        <rFont val="SimSun"/>
        <charset val="134"/>
      </rPr>
      <t>张彦迪</t>
    </r>
  </si>
  <si>
    <r>
      <rPr>
        <sz val="6"/>
        <rFont val="SimSun"/>
        <charset val="134"/>
      </rPr>
      <t>钟宸</t>
    </r>
  </si>
  <si>
    <r>
      <rPr>
        <sz val="6"/>
        <rFont val="SimSun"/>
        <charset val="134"/>
      </rPr>
      <t>姚智议</t>
    </r>
  </si>
  <si>
    <r>
      <rPr>
        <sz val="6"/>
        <rFont val="SimSun"/>
        <charset val="134"/>
      </rPr>
      <t>黎广翔</t>
    </r>
  </si>
  <si>
    <r>
      <rPr>
        <sz val="6"/>
        <rFont val="SimSun"/>
        <charset val="134"/>
      </rPr>
      <t>胡文政</t>
    </r>
  </si>
  <si>
    <r>
      <rPr>
        <sz val="6"/>
        <rFont val="SimSun"/>
        <charset val="134"/>
      </rPr>
      <t>能源与动力工程</t>
    </r>
  </si>
  <si>
    <r>
      <rPr>
        <sz val="6"/>
        <rFont val="SimSun"/>
        <charset val="134"/>
      </rPr>
      <t>廖方瑛</t>
    </r>
  </si>
  <si>
    <r>
      <rPr>
        <sz val="6"/>
        <rFont val="SimSun"/>
        <charset val="134"/>
      </rPr>
      <t>张哲源</t>
    </r>
  </si>
  <si>
    <r>
      <rPr>
        <sz val="6"/>
        <rFont val="SimSun"/>
        <charset val="134"/>
      </rPr>
      <t>纳旭辉</t>
    </r>
  </si>
  <si>
    <r>
      <rPr>
        <sz val="6"/>
        <rFont val="SimSun"/>
        <charset val="134"/>
      </rPr>
      <t>上官文超</t>
    </r>
  </si>
  <si>
    <r>
      <rPr>
        <sz val="6"/>
        <rFont val="SimSun"/>
        <charset val="134"/>
      </rPr>
      <t>沈红博</t>
    </r>
  </si>
  <si>
    <r>
      <rPr>
        <sz val="6"/>
        <rFont val="SimSun"/>
        <charset val="134"/>
      </rPr>
      <t>匡锐</t>
    </r>
  </si>
  <si>
    <r>
      <rPr>
        <sz val="6"/>
        <rFont val="SimSun"/>
        <charset val="134"/>
      </rPr>
      <t>袁天泽</t>
    </r>
  </si>
  <si>
    <r>
      <rPr>
        <sz val="6"/>
        <rFont val="SimSun"/>
        <charset val="134"/>
      </rPr>
      <t>连奕晨</t>
    </r>
  </si>
  <si>
    <r>
      <rPr>
        <sz val="6"/>
        <rFont val="SimSun"/>
        <charset val="134"/>
      </rPr>
      <t>高居宸</t>
    </r>
  </si>
  <si>
    <r>
      <rPr>
        <sz val="6"/>
        <rFont val="SimSun"/>
        <charset val="134"/>
      </rPr>
      <t>叶佳玮</t>
    </r>
  </si>
  <si>
    <r>
      <rPr>
        <sz val="6"/>
        <rFont val="SimSun"/>
        <charset val="134"/>
      </rPr>
      <t>杨宁</t>
    </r>
  </si>
  <si>
    <r>
      <rPr>
        <sz val="6"/>
        <rFont val="SimSun"/>
        <charset val="134"/>
      </rPr>
      <t>刘谕林</t>
    </r>
  </si>
  <si>
    <r>
      <rPr>
        <sz val="6"/>
        <rFont val="SimSun"/>
        <charset val="134"/>
      </rPr>
      <t>谭凯阳</t>
    </r>
  </si>
  <si>
    <r>
      <rPr>
        <sz val="6"/>
        <rFont val="SimSun"/>
        <charset val="134"/>
      </rPr>
      <t>何思明</t>
    </r>
  </si>
  <si>
    <r>
      <rPr>
        <sz val="6"/>
        <rFont val="SimSun"/>
        <charset val="134"/>
      </rPr>
      <t>俸杨珂</t>
    </r>
  </si>
  <si>
    <r>
      <rPr>
        <sz val="6"/>
        <rFont val="SimSun"/>
        <charset val="134"/>
      </rPr>
      <t>王骏玮</t>
    </r>
  </si>
  <si>
    <r>
      <rPr>
        <sz val="6"/>
        <rFont val="SimSun"/>
        <charset val="134"/>
      </rPr>
      <t>王子木</t>
    </r>
  </si>
  <si>
    <r>
      <rPr>
        <sz val="6"/>
        <rFont val="SimSun"/>
        <charset val="134"/>
      </rPr>
      <t>陈玺</t>
    </r>
  </si>
  <si>
    <r>
      <rPr>
        <sz val="6"/>
        <rFont val="SimSun"/>
        <charset val="134"/>
      </rPr>
      <t>王天宋</t>
    </r>
  </si>
  <si>
    <r>
      <rPr>
        <sz val="6"/>
        <rFont val="SimSun"/>
        <charset val="134"/>
      </rPr>
      <t>李泉霖</t>
    </r>
  </si>
  <si>
    <r>
      <rPr>
        <sz val="6"/>
        <rFont val="SimSun"/>
        <charset val="134"/>
      </rPr>
      <t>刘泰一</t>
    </r>
  </si>
  <si>
    <r>
      <rPr>
        <sz val="6"/>
        <rFont val="SimSun"/>
        <charset val="134"/>
      </rPr>
      <t>宿浩然</t>
    </r>
  </si>
  <si>
    <r>
      <rPr>
        <sz val="6"/>
        <rFont val="SimSun"/>
        <charset val="134"/>
      </rPr>
      <t>张航</t>
    </r>
  </si>
  <si>
    <r>
      <rPr>
        <sz val="6"/>
        <rFont val="SimSun"/>
        <charset val="134"/>
      </rPr>
      <t>罗丹颖</t>
    </r>
  </si>
  <si>
    <r>
      <rPr>
        <sz val="6"/>
        <rFont val="SimSun"/>
        <charset val="134"/>
      </rPr>
      <t>宋嘉欣</t>
    </r>
  </si>
  <si>
    <r>
      <rPr>
        <sz val="6"/>
        <rFont val="SimSun"/>
        <charset val="134"/>
      </rPr>
      <t>吴奇峻</t>
    </r>
  </si>
  <si>
    <r>
      <rPr>
        <sz val="6"/>
        <rFont val="SimSun"/>
        <charset val="134"/>
      </rPr>
      <t>孙林</t>
    </r>
  </si>
  <si>
    <r>
      <rPr>
        <sz val="6"/>
        <rFont val="SimSun"/>
        <charset val="134"/>
      </rPr>
      <t>夏子涵</t>
    </r>
  </si>
  <si>
    <r>
      <rPr>
        <sz val="6"/>
        <rFont val="SimSun"/>
        <charset val="134"/>
      </rPr>
      <t>徐嘉阳</t>
    </r>
  </si>
  <si>
    <r>
      <rPr>
        <sz val="6"/>
        <rFont val="SimSun"/>
        <charset val="134"/>
      </rPr>
      <t>左文博</t>
    </r>
  </si>
  <si>
    <r>
      <rPr>
        <sz val="6"/>
        <rFont val="SimSun"/>
        <charset val="134"/>
      </rPr>
      <t>覃章</t>
    </r>
  </si>
  <si>
    <r>
      <rPr>
        <sz val="6"/>
        <rFont val="SimSun"/>
        <charset val="134"/>
      </rPr>
      <t>高杨</t>
    </r>
  </si>
  <si>
    <r>
      <rPr>
        <sz val="6"/>
        <rFont val="SimSun"/>
        <charset val="134"/>
      </rPr>
      <t>张驰</t>
    </r>
  </si>
  <si>
    <r>
      <rPr>
        <sz val="6"/>
        <rFont val="SimSun"/>
        <charset val="134"/>
      </rPr>
      <t>苏磊</t>
    </r>
  </si>
  <si>
    <r>
      <rPr>
        <sz val="6"/>
        <rFont val="SimSun"/>
        <charset val="134"/>
      </rPr>
      <t>赵亘力</t>
    </r>
  </si>
  <si>
    <r>
      <rPr>
        <sz val="6"/>
        <rFont val="SimSun"/>
        <charset val="134"/>
      </rPr>
      <t>刘乾男</t>
    </r>
  </si>
  <si>
    <r>
      <rPr>
        <sz val="6"/>
        <rFont val="SimSun"/>
        <charset val="134"/>
      </rPr>
      <t>方丹骜</t>
    </r>
  </si>
  <si>
    <r>
      <rPr>
        <sz val="6"/>
        <rFont val="SimSun"/>
        <charset val="134"/>
      </rPr>
      <t>游博翔</t>
    </r>
  </si>
  <si>
    <r>
      <rPr>
        <sz val="6"/>
        <rFont val="SimSun"/>
        <charset val="134"/>
      </rPr>
      <t>李彦奇</t>
    </r>
  </si>
  <si>
    <r>
      <rPr>
        <sz val="6"/>
        <rFont val="SimSun"/>
        <charset val="134"/>
      </rPr>
      <t>宋宁</t>
    </r>
  </si>
  <si>
    <r>
      <rPr>
        <sz val="6"/>
        <rFont val="SimSun"/>
        <charset val="134"/>
      </rPr>
      <t>潘翔宇</t>
    </r>
  </si>
  <si>
    <r>
      <rPr>
        <sz val="6"/>
        <rFont val="SimSun"/>
        <charset val="134"/>
      </rPr>
      <t>杨皓博</t>
    </r>
  </si>
  <si>
    <r>
      <rPr>
        <sz val="6"/>
        <rFont val="SimSun"/>
        <charset val="134"/>
      </rPr>
      <t>熊浩楠</t>
    </r>
  </si>
  <si>
    <r>
      <rPr>
        <sz val="6"/>
        <rFont val="SimSun"/>
        <charset val="134"/>
      </rPr>
      <t>于东旭</t>
    </r>
  </si>
  <si>
    <r>
      <rPr>
        <sz val="6"/>
        <rFont val="SimSun"/>
        <charset val="134"/>
      </rPr>
      <t>张傲天</t>
    </r>
  </si>
  <si>
    <r>
      <rPr>
        <sz val="6"/>
        <rFont val="SimSun"/>
        <charset val="134"/>
      </rPr>
      <t>陈鹤升</t>
    </r>
  </si>
  <si>
    <r>
      <rPr>
        <sz val="6"/>
        <rFont val="SimSun"/>
        <charset val="134"/>
      </rPr>
      <t>董羽凡</t>
    </r>
  </si>
  <si>
    <r>
      <rPr>
        <sz val="6"/>
        <rFont val="SimSun"/>
        <charset val="134"/>
      </rPr>
      <t>陈海</t>
    </r>
  </si>
  <si>
    <r>
      <rPr>
        <sz val="6"/>
        <rFont val="SimSun"/>
        <charset val="134"/>
      </rPr>
      <t>严进豪</t>
    </r>
  </si>
  <si>
    <r>
      <rPr>
        <sz val="6"/>
        <rFont val="SimSun"/>
        <charset val="134"/>
      </rPr>
      <t>蔡贵林</t>
    </r>
  </si>
  <si>
    <r>
      <rPr>
        <sz val="6"/>
        <rFont val="SimSun"/>
        <charset val="134"/>
      </rPr>
      <t>王其科</t>
    </r>
  </si>
  <si>
    <r>
      <rPr>
        <sz val="6"/>
        <rFont val="SimSun"/>
        <charset val="134"/>
      </rPr>
      <t>文藏川</t>
    </r>
  </si>
  <si>
    <r>
      <rPr>
        <sz val="6"/>
        <rFont val="SimSun"/>
        <charset val="134"/>
      </rPr>
      <t>李定青</t>
    </r>
  </si>
  <si>
    <r>
      <rPr>
        <sz val="6"/>
        <rFont val="SimSun"/>
        <charset val="134"/>
      </rPr>
      <t>杨欣</t>
    </r>
  </si>
  <si>
    <r>
      <rPr>
        <sz val="6"/>
        <rFont val="SimSun"/>
        <charset val="134"/>
      </rPr>
      <t>苟法东</t>
    </r>
  </si>
  <si>
    <r>
      <rPr>
        <sz val="6"/>
        <rFont val="SimSun"/>
        <charset val="134"/>
      </rPr>
      <t>施宇翔</t>
    </r>
  </si>
  <si>
    <r>
      <rPr>
        <sz val="6"/>
        <rFont val="SimSun"/>
        <charset val="134"/>
      </rPr>
      <t>徐雨婷</t>
    </r>
  </si>
  <si>
    <r>
      <rPr>
        <sz val="6"/>
        <rFont val="SimSun"/>
        <charset val="134"/>
      </rPr>
      <t>傅斯锐</t>
    </r>
  </si>
  <si>
    <r>
      <rPr>
        <sz val="6"/>
        <rFont val="SimSun"/>
        <charset val="134"/>
      </rPr>
      <t>吴高锐</t>
    </r>
  </si>
  <si>
    <r>
      <rPr>
        <sz val="6"/>
        <rFont val="SimSun"/>
        <charset val="134"/>
      </rPr>
      <t>刘士源</t>
    </r>
  </si>
  <si>
    <r>
      <rPr>
        <sz val="6"/>
        <rFont val="SimSun"/>
        <charset val="134"/>
      </rPr>
      <t>阿亚拉</t>
    </r>
    <r>
      <rPr>
        <sz val="6"/>
        <rFont val="Arial"/>
        <family val="2"/>
      </rPr>
      <t>·</t>
    </r>
    <r>
      <rPr>
        <sz val="6"/>
        <rFont val="SimSun"/>
        <charset val="134"/>
      </rPr>
      <t>那斯哈提</t>
    </r>
  </si>
  <si>
    <r>
      <rPr>
        <sz val="6"/>
        <rFont val="SimSun"/>
        <charset val="134"/>
      </rPr>
      <t>朱哲彤</t>
    </r>
  </si>
  <si>
    <r>
      <rPr>
        <sz val="6"/>
        <rFont val="SimSun"/>
        <charset val="134"/>
      </rPr>
      <t>彭翌初</t>
    </r>
  </si>
  <si>
    <r>
      <rPr>
        <sz val="6"/>
        <rFont val="SimSun"/>
        <charset val="134"/>
      </rPr>
      <t>智能制造工程</t>
    </r>
  </si>
  <si>
    <r>
      <rPr>
        <sz val="6"/>
        <rFont val="SimSun"/>
        <charset val="134"/>
      </rPr>
      <t>周俊</t>
    </r>
  </si>
  <si>
    <r>
      <rPr>
        <sz val="6"/>
        <rFont val="SimSun"/>
        <charset val="134"/>
      </rPr>
      <t>王炳基</t>
    </r>
  </si>
  <si>
    <r>
      <rPr>
        <sz val="6"/>
        <rFont val="SimSun"/>
        <charset val="134"/>
      </rPr>
      <t>张哲</t>
    </r>
  </si>
  <si>
    <r>
      <rPr>
        <sz val="6"/>
        <rFont val="SimSun"/>
        <charset val="134"/>
      </rPr>
      <t>何典聪</t>
    </r>
  </si>
  <si>
    <r>
      <rPr>
        <sz val="6"/>
        <rFont val="SimSun"/>
        <charset val="134"/>
      </rPr>
      <t>谭仲元</t>
    </r>
  </si>
  <si>
    <r>
      <rPr>
        <sz val="6"/>
        <rFont val="SimSun"/>
        <charset val="134"/>
      </rPr>
      <t>张亦弛</t>
    </r>
  </si>
  <si>
    <r>
      <rPr>
        <sz val="6"/>
        <rFont val="SimSun"/>
        <charset val="134"/>
      </rPr>
      <t>夏粒峰</t>
    </r>
  </si>
  <si>
    <r>
      <rPr>
        <sz val="6"/>
        <rFont val="SimSun"/>
        <charset val="134"/>
      </rPr>
      <t>李皝禅</t>
    </r>
  </si>
  <si>
    <r>
      <rPr>
        <sz val="6"/>
        <rFont val="SimSun"/>
        <charset val="134"/>
      </rPr>
      <t>黄靖雯</t>
    </r>
  </si>
  <si>
    <r>
      <rPr>
        <sz val="6"/>
        <rFont val="SimSun"/>
        <charset val="134"/>
      </rPr>
      <t>赵子涵</t>
    </r>
  </si>
  <si>
    <r>
      <rPr>
        <sz val="6"/>
        <rFont val="SimSun"/>
        <charset val="134"/>
      </rPr>
      <t>王绍涵</t>
    </r>
  </si>
  <si>
    <r>
      <rPr>
        <sz val="6"/>
        <rFont val="SimSun"/>
        <charset val="134"/>
      </rPr>
      <t>胡耘璁</t>
    </r>
  </si>
  <si>
    <r>
      <rPr>
        <sz val="6"/>
        <rFont val="SimSun"/>
        <charset val="134"/>
      </rPr>
      <t>叶从盼</t>
    </r>
  </si>
  <si>
    <r>
      <rPr>
        <sz val="6"/>
        <rFont val="SimSun"/>
        <charset val="134"/>
      </rPr>
      <t>钟生宇</t>
    </r>
  </si>
  <si>
    <r>
      <rPr>
        <sz val="6"/>
        <rFont val="SimSun"/>
        <charset val="134"/>
      </rPr>
      <t>谢尚文</t>
    </r>
  </si>
  <si>
    <r>
      <rPr>
        <sz val="6"/>
        <rFont val="SimSun"/>
        <charset val="134"/>
      </rPr>
      <t>杨焱钧</t>
    </r>
  </si>
  <si>
    <r>
      <rPr>
        <sz val="6"/>
        <rFont val="SimSun"/>
        <charset val="134"/>
      </rPr>
      <t>黄子逑</t>
    </r>
  </si>
  <si>
    <r>
      <rPr>
        <sz val="6"/>
        <rFont val="SimSun"/>
        <charset val="134"/>
      </rPr>
      <t>蒲东峻</t>
    </r>
  </si>
  <si>
    <r>
      <rPr>
        <sz val="6"/>
        <rFont val="SimSun"/>
        <charset val="134"/>
      </rPr>
      <t>时境</t>
    </r>
  </si>
  <si>
    <r>
      <rPr>
        <sz val="6"/>
        <rFont val="SimSun"/>
        <charset val="134"/>
      </rPr>
      <t>李伟</t>
    </r>
  </si>
  <si>
    <r>
      <rPr>
        <sz val="6"/>
        <rFont val="SimSun"/>
        <charset val="134"/>
      </rPr>
      <t>朱志强</t>
    </r>
  </si>
  <si>
    <r>
      <rPr>
        <sz val="6"/>
        <rFont val="SimSun"/>
        <charset val="134"/>
      </rPr>
      <t>李沛昕</t>
    </r>
  </si>
  <si>
    <r>
      <rPr>
        <sz val="6"/>
        <rFont val="SimSun"/>
        <charset val="134"/>
      </rPr>
      <t>谭烨</t>
    </r>
  </si>
  <si>
    <r>
      <rPr>
        <sz val="6"/>
        <rFont val="SimSun"/>
        <charset val="134"/>
      </rPr>
      <t>张阳阳</t>
    </r>
  </si>
  <si>
    <r>
      <rPr>
        <sz val="6"/>
        <rFont val="SimSun"/>
        <charset val="134"/>
      </rPr>
      <t>崔华侨</t>
    </r>
  </si>
  <si>
    <r>
      <rPr>
        <sz val="6"/>
        <rFont val="SimSun"/>
        <charset val="134"/>
      </rPr>
      <t>黎潍嘉</t>
    </r>
  </si>
  <si>
    <r>
      <rPr>
        <sz val="6"/>
        <rFont val="SimSun"/>
        <charset val="134"/>
      </rPr>
      <t>李冠诚</t>
    </r>
  </si>
  <si>
    <r>
      <rPr>
        <sz val="6"/>
        <rFont val="SimSun"/>
        <charset val="134"/>
      </rPr>
      <t>张珏航</t>
    </r>
  </si>
  <si>
    <r>
      <rPr>
        <sz val="6"/>
        <rFont val="SimSun"/>
        <charset val="134"/>
      </rPr>
      <t>张朝鑫</t>
    </r>
  </si>
  <si>
    <r>
      <rPr>
        <sz val="6"/>
        <rFont val="SimSun"/>
        <charset val="134"/>
      </rPr>
      <t>装甲车辆工程</t>
    </r>
  </si>
  <si>
    <r>
      <rPr>
        <sz val="6"/>
        <rFont val="SimSun"/>
        <charset val="134"/>
      </rPr>
      <t>周靖凯</t>
    </r>
  </si>
  <si>
    <r>
      <rPr>
        <sz val="6"/>
        <rFont val="SimSun"/>
        <charset val="134"/>
      </rPr>
      <t>郑昕黎</t>
    </r>
  </si>
  <si>
    <r>
      <rPr>
        <sz val="6"/>
        <rFont val="SimSun"/>
        <charset val="134"/>
      </rPr>
      <t>郭昊含</t>
    </r>
  </si>
  <si>
    <r>
      <rPr>
        <sz val="6"/>
        <rFont val="SimSun"/>
        <charset val="134"/>
      </rPr>
      <t>钟霖奕</t>
    </r>
  </si>
  <si>
    <r>
      <rPr>
        <sz val="6"/>
        <rFont val="SimSun"/>
        <charset val="134"/>
      </rPr>
      <t>刘雨露</t>
    </r>
  </si>
  <si>
    <r>
      <rPr>
        <sz val="6"/>
        <rFont val="SimSun"/>
        <charset val="134"/>
      </rPr>
      <t>方梓轩</t>
    </r>
  </si>
  <si>
    <r>
      <rPr>
        <sz val="6"/>
        <rFont val="SimSun"/>
        <charset val="134"/>
      </rPr>
      <t>赵喜平</t>
    </r>
  </si>
  <si>
    <r>
      <rPr>
        <sz val="6"/>
        <rFont val="SimSun"/>
        <charset val="134"/>
      </rPr>
      <t>王宇豪</t>
    </r>
  </si>
  <si>
    <r>
      <rPr>
        <sz val="6"/>
        <rFont val="SimSun"/>
        <charset val="134"/>
      </rPr>
      <t>沈晓曦</t>
    </r>
  </si>
  <si>
    <r>
      <rPr>
        <sz val="6"/>
        <rFont val="SimSun"/>
        <charset val="134"/>
      </rPr>
      <t>张庭语</t>
    </r>
  </si>
  <si>
    <r>
      <rPr>
        <sz val="6"/>
        <rFont val="SimSun"/>
        <charset val="134"/>
      </rPr>
      <t>黄家华</t>
    </r>
  </si>
  <si>
    <r>
      <rPr>
        <sz val="6"/>
        <rFont val="SimSun"/>
        <charset val="134"/>
      </rPr>
      <t>赵元熙</t>
    </r>
  </si>
  <si>
    <r>
      <rPr>
        <sz val="6"/>
        <rFont val="SimSun"/>
        <charset val="134"/>
      </rPr>
      <t>赵丹宁</t>
    </r>
  </si>
  <si>
    <r>
      <rPr>
        <sz val="6"/>
        <rFont val="SimSun"/>
        <charset val="134"/>
      </rPr>
      <t>肖涵</t>
    </r>
  </si>
  <si>
    <r>
      <rPr>
        <sz val="6"/>
        <rFont val="SimSun"/>
        <charset val="134"/>
      </rPr>
      <t>路博宇</t>
    </r>
  </si>
  <si>
    <r>
      <rPr>
        <sz val="6"/>
        <rFont val="SimSun"/>
        <charset val="134"/>
      </rPr>
      <t>刘念荷</t>
    </r>
  </si>
  <si>
    <r>
      <rPr>
        <sz val="6"/>
        <rFont val="SimSun"/>
        <charset val="134"/>
      </rPr>
      <t>裴浚博</t>
    </r>
  </si>
  <si>
    <r>
      <rPr>
        <sz val="6"/>
        <rFont val="SimSun"/>
        <charset val="134"/>
      </rPr>
      <t>江博凯</t>
    </r>
  </si>
  <si>
    <r>
      <rPr>
        <sz val="6"/>
        <rFont val="SimSun"/>
        <charset val="134"/>
      </rPr>
      <t>曾可嘉</t>
    </r>
  </si>
  <si>
    <r>
      <rPr>
        <sz val="6"/>
        <rFont val="SimSun"/>
        <charset val="134"/>
      </rPr>
      <t>周星宇</t>
    </r>
  </si>
  <si>
    <r>
      <rPr>
        <sz val="6"/>
        <rFont val="SimSun"/>
        <charset val="134"/>
      </rPr>
      <t>王钢</t>
    </r>
  </si>
  <si>
    <r>
      <rPr>
        <sz val="6"/>
        <rFont val="SimSun"/>
        <charset val="134"/>
      </rPr>
      <t>郭哲</t>
    </r>
  </si>
  <si>
    <r>
      <rPr>
        <sz val="6"/>
        <rFont val="SimSun"/>
        <charset val="134"/>
      </rPr>
      <t>陈丁</t>
    </r>
  </si>
  <si>
    <r>
      <rPr>
        <sz val="6"/>
        <rFont val="SimSun"/>
        <charset val="134"/>
      </rPr>
      <t>白羽彤</t>
    </r>
  </si>
  <si>
    <r>
      <rPr>
        <sz val="6"/>
        <rFont val="SimSun"/>
        <charset val="134"/>
      </rPr>
      <t>李承泽</t>
    </r>
  </si>
  <si>
    <r>
      <rPr>
        <sz val="6"/>
        <rFont val="SimSun"/>
        <charset val="134"/>
      </rPr>
      <t>李寅博</t>
    </r>
  </si>
  <si>
    <r>
      <rPr>
        <sz val="6"/>
        <rFont val="SimSun"/>
        <charset val="134"/>
      </rPr>
      <t>李思源</t>
    </r>
  </si>
  <si>
    <r>
      <rPr>
        <sz val="6"/>
        <rFont val="SimSun"/>
        <charset val="134"/>
      </rPr>
      <t>王铄祥</t>
    </r>
  </si>
  <si>
    <r>
      <rPr>
        <sz val="6"/>
        <rFont val="SimSun"/>
        <charset val="134"/>
      </rPr>
      <t>刘京灵</t>
    </r>
  </si>
  <si>
    <r>
      <rPr>
        <sz val="6"/>
        <rFont val="SimSun"/>
        <charset val="134"/>
      </rPr>
      <t>陈伦</t>
    </r>
  </si>
  <si>
    <r>
      <rPr>
        <sz val="6"/>
        <rFont val="SimSun"/>
        <charset val="134"/>
      </rPr>
      <t>黄慧轩</t>
    </r>
  </si>
  <si>
    <r>
      <rPr>
        <sz val="6"/>
        <rFont val="SimSun"/>
        <charset val="134"/>
      </rPr>
      <t>杨书懿</t>
    </r>
  </si>
  <si>
    <r>
      <rPr>
        <sz val="6"/>
        <rFont val="SimSun"/>
        <charset val="134"/>
      </rPr>
      <t>王曦</t>
    </r>
  </si>
  <si>
    <r>
      <rPr>
        <sz val="6"/>
        <rFont val="SimSun"/>
        <charset val="134"/>
      </rPr>
      <t>李睿熹</t>
    </r>
  </si>
  <si>
    <r>
      <rPr>
        <sz val="6"/>
        <rFont val="SimSun"/>
        <charset val="134"/>
      </rPr>
      <t>姜润州</t>
    </r>
  </si>
  <si>
    <r>
      <rPr>
        <sz val="6"/>
        <rFont val="SimSun"/>
        <charset val="134"/>
      </rPr>
      <t>王瑞峰</t>
    </r>
  </si>
  <si>
    <r>
      <rPr>
        <sz val="6"/>
        <rFont val="SimSun"/>
        <charset val="134"/>
      </rPr>
      <t>许山合</t>
    </r>
  </si>
  <si>
    <r>
      <rPr>
        <sz val="6"/>
        <rFont val="SimSun"/>
        <charset val="134"/>
      </rPr>
      <t>张仕喆</t>
    </r>
  </si>
  <si>
    <r>
      <rPr>
        <sz val="6"/>
        <rFont val="SimSun"/>
        <charset val="134"/>
      </rPr>
      <t>栗敬博</t>
    </r>
  </si>
  <si>
    <r>
      <rPr>
        <sz val="6"/>
        <rFont val="SimSun"/>
        <charset val="134"/>
      </rPr>
      <t>龚心然</t>
    </r>
  </si>
  <si>
    <r>
      <rPr>
        <sz val="6"/>
        <rFont val="SimSun"/>
        <charset val="134"/>
      </rPr>
      <t>余彦德</t>
    </r>
  </si>
  <si>
    <r>
      <rPr>
        <sz val="6"/>
        <rFont val="SimSun"/>
        <charset val="134"/>
      </rPr>
      <t>杨景涵</t>
    </r>
  </si>
  <si>
    <r>
      <rPr>
        <sz val="6"/>
        <rFont val="SimSun"/>
        <charset val="134"/>
      </rPr>
      <t>王晨昊</t>
    </r>
  </si>
  <si>
    <r>
      <rPr>
        <sz val="6"/>
        <rFont val="SimSun"/>
        <charset val="134"/>
      </rPr>
      <t>古焯龙</t>
    </r>
  </si>
  <si>
    <r>
      <rPr>
        <sz val="6"/>
        <rFont val="SimSun"/>
        <charset val="134"/>
      </rPr>
      <t>刘震宇</t>
    </r>
  </si>
  <si>
    <r>
      <rPr>
        <sz val="6"/>
        <rFont val="SimSun"/>
        <charset val="134"/>
      </rPr>
      <t>袁磊</t>
    </r>
  </si>
  <si>
    <r>
      <rPr>
        <sz val="6"/>
        <rFont val="SimSun"/>
        <charset val="134"/>
      </rPr>
      <t>荀江宏</t>
    </r>
  </si>
  <si>
    <r>
      <rPr>
        <sz val="6"/>
        <rFont val="SimSun"/>
        <charset val="134"/>
      </rPr>
      <t>陈智磊</t>
    </r>
  </si>
  <si>
    <r>
      <rPr>
        <sz val="6"/>
        <rFont val="SimSun"/>
        <charset val="134"/>
      </rPr>
      <t>李东伟</t>
    </r>
  </si>
  <si>
    <r>
      <rPr>
        <sz val="6"/>
        <rFont val="SimSun"/>
        <charset val="134"/>
      </rPr>
      <t>潘逸飞</t>
    </r>
  </si>
  <si>
    <r>
      <rPr>
        <sz val="6"/>
        <rFont val="SimSun"/>
        <charset val="134"/>
      </rPr>
      <t>郭俊奇</t>
    </r>
  </si>
  <si>
    <r>
      <rPr>
        <sz val="6"/>
        <rFont val="SimSun"/>
        <charset val="134"/>
      </rPr>
      <t>时泽铭</t>
    </r>
  </si>
  <si>
    <r>
      <rPr>
        <sz val="6"/>
        <rFont val="SimSun"/>
        <charset val="134"/>
      </rPr>
      <t>刘畅</t>
    </r>
  </si>
  <si>
    <r>
      <rPr>
        <sz val="6"/>
        <rFont val="SimSun"/>
        <charset val="134"/>
      </rPr>
      <t>尹泽明</t>
    </r>
  </si>
  <si>
    <r>
      <rPr>
        <sz val="6"/>
        <rFont val="SimSun"/>
        <charset val="134"/>
      </rPr>
      <t>陈致君</t>
    </r>
  </si>
  <si>
    <r>
      <rPr>
        <sz val="6"/>
        <rFont val="SimSun"/>
        <charset val="134"/>
      </rPr>
      <t>萨木哈尔</t>
    </r>
    <r>
      <rPr>
        <sz val="6"/>
        <rFont val="Arial"/>
        <family val="2"/>
      </rPr>
      <t xml:space="preserve">· </t>
    </r>
    <r>
      <rPr>
        <sz val="6"/>
        <rFont val="SimSun"/>
        <charset val="134"/>
      </rPr>
      <t>苏伟</t>
    </r>
  </si>
  <si>
    <r>
      <rPr>
        <sz val="6"/>
        <rFont val="SimSun"/>
        <charset val="134"/>
      </rPr>
      <t>李俨霖</t>
    </r>
  </si>
  <si>
    <r>
      <rPr>
        <sz val="6"/>
        <rFont val="SimSun"/>
        <charset val="134"/>
      </rPr>
      <t>侯煜山</t>
    </r>
  </si>
  <si>
    <r>
      <rPr>
        <sz val="6"/>
        <rFont val="SimSun"/>
        <charset val="134"/>
      </rPr>
      <t>彭祥瑞</t>
    </r>
  </si>
  <si>
    <r>
      <rPr>
        <sz val="6"/>
        <rFont val="SimSun"/>
        <charset val="134"/>
      </rPr>
      <t>李昱辰</t>
    </r>
  </si>
  <si>
    <r>
      <rPr>
        <sz val="6"/>
        <rFont val="SimSun"/>
        <charset val="134"/>
      </rPr>
      <t>景恒宇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</si>
</sst>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00%"/>
    <numFmt numFmtId="178" formatCode="0.0000_ "/>
    <numFmt numFmtId="179" formatCode="0.0_ "/>
    <numFmt numFmtId="180" formatCode="0.00_ "/>
  </numFmts>
  <fonts count="9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Arial"/>
      <family val="2"/>
    </font>
    <font>
      <b/>
      <sz val="7"/>
      <color rgb="FF000000"/>
      <name val="Microsoft YaHei"/>
      <charset val="134"/>
    </font>
    <font>
      <b/>
      <sz val="7"/>
      <name val="Microsoft YaHei"/>
      <charset val="134"/>
    </font>
    <font>
      <sz val="6"/>
      <color rgb="FF000000"/>
      <name val="Arial"/>
      <family val="2"/>
    </font>
    <font>
      <sz val="6"/>
      <color rgb="FF000000"/>
      <name val="SimSun"/>
      <charset val="134"/>
    </font>
    <font>
      <sz val="6"/>
      <name val="SimSun"/>
      <charset val="134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176" fontId="5" fillId="0" borderId="4" xfId="1" applyNumberFormat="1" applyFont="1" applyBorder="1" applyAlignment="1">
      <alignment horizontal="center" vertical="center" wrapText="1"/>
    </xf>
    <xf numFmtId="176" fontId="5" fillId="0" borderId="5" xfId="1" applyNumberFormat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177" fontId="5" fillId="0" borderId="5" xfId="1" applyNumberFormat="1" applyFont="1" applyBorder="1" applyAlignment="1">
      <alignment horizontal="center" vertical="center" wrapText="1"/>
    </xf>
    <xf numFmtId="178" fontId="5" fillId="0" borderId="5" xfId="1" applyNumberFormat="1" applyFont="1" applyBorder="1" applyAlignment="1">
      <alignment horizontal="center" vertical="center" wrapText="1"/>
    </xf>
    <xf numFmtId="179" fontId="5" fillId="0" borderId="5" xfId="1" applyNumberFormat="1" applyFont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180" fontId="5" fillId="0" borderId="5" xfId="1" applyNumberFormat="1" applyFont="1" applyBorder="1" applyAlignment="1">
      <alignment horizontal="center" vertical="center" wrapText="1"/>
    </xf>
    <xf numFmtId="176" fontId="5" fillId="0" borderId="7" xfId="1" applyNumberFormat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177" fontId="5" fillId="0" borderId="7" xfId="1" applyNumberFormat="1" applyFont="1" applyBorder="1" applyAlignment="1">
      <alignment horizontal="center" vertical="center" wrapText="1"/>
    </xf>
    <xf numFmtId="178" fontId="5" fillId="0" borderId="7" xfId="1" applyNumberFormat="1" applyFont="1" applyBorder="1" applyAlignment="1">
      <alignment horizontal="center" vertical="center" wrapText="1"/>
    </xf>
    <xf numFmtId="179" fontId="5" fillId="0" borderId="7" xfId="1" applyNumberFormat="1" applyFont="1" applyBorder="1" applyAlignment="1">
      <alignment horizontal="center" vertical="center" wrapText="1"/>
    </xf>
    <xf numFmtId="0" fontId="2" fillId="0" borderId="8" xfId="1" applyBorder="1" applyAlignment="1">
      <alignment horizontal="center" vertical="center" wrapText="1"/>
    </xf>
  </cellXfs>
  <cellStyles count="2">
    <cellStyle name="常规" xfId="0" builtinId="0"/>
    <cellStyle name="常规 2" xfId="1" xr:uid="{9B64CB5F-5257-411F-AD63-E53A94414F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&#25104;&#32489;/&#21271;&#20140;&#29702;&#24037;&#22823;&#23398;&#26426;&#26800;&#19982;&#36710;&#36742;&#23398;&#38498;2023&#32423;&#25512;&#20813;&#25104;&#32489;.xlsx" TargetMode="External"/><Relationship Id="rId2" Type="http://schemas.openxmlformats.org/officeDocument/2006/relationships/externalLinkPath" Target="file:///C:\Users\LiuTi\Desktop\&#25104;&#32489;\&#21271;&#20140;&#29702;&#24037;&#22823;&#23398;&#26426;&#26800;&#19982;&#36710;&#36742;&#23398;&#38498;2023&#32423;&#25512;&#20813;&#25104;&#32489;.xlsx" TargetMode="External"/><Relationship Id="rId1" Type="http://schemas.openxmlformats.org/officeDocument/2006/relationships/externalLinkPath" Target="/Users/LiuTi/Desktop/&#25104;&#32489;/&#21271;&#20140;&#29702;&#24037;&#22823;&#23398;&#26426;&#26800;&#19982;&#36710;&#36742;&#23398;&#38498;2023&#32423;&#25512;&#20813;&#25104;&#324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成绩单"/>
      <sheetName val="Sheet1"/>
    </sheetNames>
    <sheetDataSet>
      <sheetData sheetId="0">
        <row r="2">
          <cell r="B2">
            <v>1120233372</v>
          </cell>
        </row>
        <row r="3">
          <cell r="B3">
            <v>1120230331</v>
          </cell>
        </row>
        <row r="4">
          <cell r="B4">
            <v>1120232880</v>
          </cell>
        </row>
        <row r="5">
          <cell r="B5">
            <v>1120231019</v>
          </cell>
        </row>
        <row r="6">
          <cell r="B6">
            <v>1120231642</v>
          </cell>
        </row>
        <row r="7">
          <cell r="B7">
            <v>1120233376</v>
          </cell>
        </row>
        <row r="8">
          <cell r="B8">
            <v>1120230370</v>
          </cell>
        </row>
        <row r="9">
          <cell r="B9">
            <v>1120230216</v>
          </cell>
        </row>
        <row r="10">
          <cell r="B10">
            <v>1120232505</v>
          </cell>
        </row>
        <row r="11">
          <cell r="B11">
            <v>1120231525</v>
          </cell>
        </row>
        <row r="12">
          <cell r="B12">
            <v>1120231293</v>
          </cell>
        </row>
        <row r="13">
          <cell r="B13">
            <v>1120231622</v>
          </cell>
        </row>
        <row r="14">
          <cell r="B14">
            <v>1120233389</v>
          </cell>
        </row>
        <row r="15">
          <cell r="B15">
            <v>1120233251</v>
          </cell>
        </row>
        <row r="16">
          <cell r="B16">
            <v>1120230994</v>
          </cell>
        </row>
        <row r="17">
          <cell r="B17">
            <v>1120231016</v>
          </cell>
        </row>
        <row r="18">
          <cell r="B18">
            <v>1120232293</v>
          </cell>
        </row>
        <row r="19">
          <cell r="B19">
            <v>1120230828</v>
          </cell>
        </row>
        <row r="20">
          <cell r="B20">
            <v>1120230268</v>
          </cell>
        </row>
        <row r="21">
          <cell r="B21">
            <v>1120233387</v>
          </cell>
        </row>
        <row r="22">
          <cell r="B22">
            <v>1120233006</v>
          </cell>
        </row>
        <row r="23">
          <cell r="B23">
            <v>1120232489</v>
          </cell>
        </row>
        <row r="24">
          <cell r="B24">
            <v>1120231656</v>
          </cell>
        </row>
        <row r="25">
          <cell r="B25">
            <v>1120232875</v>
          </cell>
        </row>
        <row r="26">
          <cell r="B26">
            <v>1120231612</v>
          </cell>
        </row>
        <row r="27">
          <cell r="B27">
            <v>1120231778</v>
          </cell>
        </row>
        <row r="28">
          <cell r="B28">
            <v>1120232495</v>
          </cell>
        </row>
        <row r="29">
          <cell r="B29">
            <v>1120231433</v>
          </cell>
        </row>
        <row r="30">
          <cell r="B30">
            <v>1120231631</v>
          </cell>
        </row>
        <row r="31">
          <cell r="B31">
            <v>1120231762</v>
          </cell>
        </row>
        <row r="32">
          <cell r="B32">
            <v>1120232294</v>
          </cell>
        </row>
        <row r="33">
          <cell r="B33">
            <v>1120232903</v>
          </cell>
        </row>
        <row r="34">
          <cell r="B34">
            <v>1120231358</v>
          </cell>
        </row>
        <row r="35">
          <cell r="B35">
            <v>1120232519</v>
          </cell>
        </row>
        <row r="36">
          <cell r="B36">
            <v>1120232761</v>
          </cell>
        </row>
        <row r="37">
          <cell r="B37">
            <v>1120231024</v>
          </cell>
        </row>
        <row r="38">
          <cell r="B38">
            <v>1120233391</v>
          </cell>
        </row>
        <row r="39">
          <cell r="B39">
            <v>1120232222</v>
          </cell>
        </row>
        <row r="40">
          <cell r="B40">
            <v>1120231429</v>
          </cell>
        </row>
        <row r="41">
          <cell r="B41">
            <v>1120232897</v>
          </cell>
        </row>
        <row r="42">
          <cell r="B42">
            <v>1120231272</v>
          </cell>
        </row>
        <row r="43">
          <cell r="B43">
            <v>1120232867</v>
          </cell>
        </row>
        <row r="44">
          <cell r="B44">
            <v>1120232760</v>
          </cell>
        </row>
        <row r="45">
          <cell r="B45">
            <v>1120231777</v>
          </cell>
        </row>
        <row r="46">
          <cell r="B46">
            <v>1120231020</v>
          </cell>
        </row>
        <row r="47">
          <cell r="B47">
            <v>1120233420</v>
          </cell>
        </row>
        <row r="48">
          <cell r="B48">
            <v>1120230418</v>
          </cell>
        </row>
        <row r="49">
          <cell r="B49">
            <v>1120230997</v>
          </cell>
        </row>
        <row r="50">
          <cell r="B50">
            <v>1120232217</v>
          </cell>
        </row>
        <row r="51">
          <cell r="B51">
            <v>1120233383</v>
          </cell>
        </row>
        <row r="52">
          <cell r="B52">
            <v>1120231425</v>
          </cell>
        </row>
        <row r="53">
          <cell r="B53">
            <v>1120230980</v>
          </cell>
        </row>
        <row r="54">
          <cell r="B54">
            <v>1120232298</v>
          </cell>
        </row>
        <row r="55">
          <cell r="B55">
            <v>1120230047</v>
          </cell>
        </row>
        <row r="56">
          <cell r="B56">
            <v>1120232911</v>
          </cell>
        </row>
        <row r="57">
          <cell r="B57">
            <v>1120232054</v>
          </cell>
        </row>
        <row r="58">
          <cell r="B58">
            <v>1120231766</v>
          </cell>
        </row>
        <row r="59">
          <cell r="B59">
            <v>1120231638</v>
          </cell>
        </row>
        <row r="60">
          <cell r="B60">
            <v>1120230989</v>
          </cell>
        </row>
        <row r="61">
          <cell r="B61">
            <v>1120230721</v>
          </cell>
        </row>
        <row r="62">
          <cell r="B62">
            <v>1120232876</v>
          </cell>
        </row>
        <row r="63">
          <cell r="B63">
            <v>1120231189</v>
          </cell>
        </row>
        <row r="64">
          <cell r="B64">
            <v>1120232909</v>
          </cell>
        </row>
        <row r="65">
          <cell r="B65">
            <v>1120232303</v>
          </cell>
        </row>
        <row r="66">
          <cell r="B66">
            <v>1120230582</v>
          </cell>
        </row>
        <row r="67">
          <cell r="B67">
            <v>1120230715</v>
          </cell>
        </row>
        <row r="68">
          <cell r="B68">
            <v>1120231022</v>
          </cell>
        </row>
        <row r="69">
          <cell r="B69">
            <v>1120232215</v>
          </cell>
        </row>
        <row r="70">
          <cell r="B70">
            <v>1120232873</v>
          </cell>
        </row>
        <row r="71">
          <cell r="B71">
            <v>1120230391</v>
          </cell>
        </row>
        <row r="72">
          <cell r="B72">
            <v>1120230998</v>
          </cell>
        </row>
        <row r="73">
          <cell r="B73">
            <v>1120231432</v>
          </cell>
        </row>
        <row r="74">
          <cell r="B74">
            <v>1120232045</v>
          </cell>
        </row>
        <row r="75">
          <cell r="B75">
            <v>1120232484</v>
          </cell>
        </row>
        <row r="76">
          <cell r="B76">
            <v>1120233020</v>
          </cell>
        </row>
        <row r="77">
          <cell r="B77">
            <v>1120232502</v>
          </cell>
        </row>
        <row r="78">
          <cell r="B78">
            <v>1120230388</v>
          </cell>
        </row>
        <row r="79">
          <cell r="B79">
            <v>1120232490</v>
          </cell>
        </row>
        <row r="80">
          <cell r="B80">
            <v>1120231362</v>
          </cell>
        </row>
        <row r="81">
          <cell r="B81">
            <v>1120232283</v>
          </cell>
        </row>
        <row r="82">
          <cell r="B82">
            <v>1120232301</v>
          </cell>
        </row>
        <row r="83">
          <cell r="B83">
            <v>1120231278</v>
          </cell>
        </row>
        <row r="84">
          <cell r="B84">
            <v>1120231284</v>
          </cell>
        </row>
        <row r="85">
          <cell r="B85">
            <v>1120232899</v>
          </cell>
        </row>
        <row r="86">
          <cell r="B86">
            <v>1120230987</v>
          </cell>
        </row>
        <row r="87">
          <cell r="B87">
            <v>1120232503</v>
          </cell>
        </row>
        <row r="88">
          <cell r="B88">
            <v>1120230372</v>
          </cell>
        </row>
        <row r="89">
          <cell r="B89">
            <v>1120230996</v>
          </cell>
        </row>
        <row r="90">
          <cell r="B90">
            <v>1120231436</v>
          </cell>
        </row>
        <row r="91">
          <cell r="B91">
            <v>1120232506</v>
          </cell>
        </row>
        <row r="92">
          <cell r="B92">
            <v>1120231009</v>
          </cell>
        </row>
        <row r="93">
          <cell r="B93">
            <v>1120232896</v>
          </cell>
        </row>
        <row r="94">
          <cell r="B94">
            <v>1120232205</v>
          </cell>
        </row>
        <row r="95">
          <cell r="B95">
            <v>1120230829</v>
          </cell>
        </row>
        <row r="96">
          <cell r="B96">
            <v>1120231003</v>
          </cell>
        </row>
      </sheetData>
      <sheetData sheetId="1">
        <row r="1">
          <cell r="A1" t="str">
            <v>学号</v>
          </cell>
          <cell r="E1" t="str">
            <v>德育</v>
          </cell>
          <cell r="F1" t="str">
            <v>德育排名</v>
          </cell>
          <cell r="G1" t="str">
            <v>1德育</v>
          </cell>
          <cell r="H1" t="str">
            <v>2德育</v>
          </cell>
          <cell r="I1" t="str">
            <v>3德育</v>
          </cell>
          <cell r="J1" t="str">
            <v>4德育</v>
          </cell>
          <cell r="K1" t="str">
            <v>5德育</v>
          </cell>
        </row>
        <row r="2">
          <cell r="A2" t="str">
            <v>学分</v>
          </cell>
          <cell r="B2" t="str">
            <v>姓名</v>
          </cell>
          <cell r="C2" t="str">
            <v>专业</v>
          </cell>
          <cell r="D2" t="str">
            <v>班级</v>
          </cell>
          <cell r="E2" t="str">
            <v>德育</v>
          </cell>
          <cell r="F2" t="str">
            <v>德育排名</v>
          </cell>
        </row>
        <row r="3">
          <cell r="A3">
            <v>1120233372</v>
          </cell>
          <cell r="B3" t="str">
            <v>张倬熙</v>
          </cell>
          <cell r="C3" t="str">
            <v>车辆工程</v>
          </cell>
          <cell r="D3" t="str">
            <v>精工2310</v>
          </cell>
          <cell r="E3">
            <v>83.6</v>
          </cell>
          <cell r="F3">
            <v>1</v>
          </cell>
          <cell r="G3">
            <v>5.6</v>
          </cell>
          <cell r="H3">
            <v>9.8000000000000007</v>
          </cell>
          <cell r="I3">
            <v>22.6</v>
          </cell>
          <cell r="J3">
            <v>15.4</v>
          </cell>
          <cell r="K3">
            <v>30.2</v>
          </cell>
        </row>
        <row r="4">
          <cell r="A4">
            <v>1120230331</v>
          </cell>
          <cell r="B4" t="str">
            <v>张子凯</v>
          </cell>
          <cell r="C4" t="str">
            <v>车辆工程</v>
          </cell>
          <cell r="D4" t="str">
            <v>精工2311</v>
          </cell>
          <cell r="E4">
            <v>65.399999999999991</v>
          </cell>
          <cell r="F4">
            <v>2</v>
          </cell>
          <cell r="G4">
            <v>3.8</v>
          </cell>
          <cell r="H4">
            <v>6.3</v>
          </cell>
          <cell r="I4">
            <v>14.3</v>
          </cell>
          <cell r="J4">
            <v>22.2</v>
          </cell>
          <cell r="K4">
            <v>18.8</v>
          </cell>
        </row>
        <row r="5">
          <cell r="A5">
            <v>1120232880</v>
          </cell>
          <cell r="B5" t="str">
            <v>张焱鑫</v>
          </cell>
          <cell r="C5" t="str">
            <v>车辆工程</v>
          </cell>
          <cell r="D5" t="str">
            <v>精工2310</v>
          </cell>
          <cell r="E5">
            <v>40.980000000000004</v>
          </cell>
          <cell r="F5">
            <v>11</v>
          </cell>
          <cell r="G5">
            <v>7.8</v>
          </cell>
          <cell r="H5">
            <v>2.8</v>
          </cell>
          <cell r="I5">
            <v>12.68</v>
          </cell>
          <cell r="J5">
            <v>5.9</v>
          </cell>
          <cell r="K5">
            <v>11.8</v>
          </cell>
        </row>
        <row r="6">
          <cell r="A6">
            <v>1120231019</v>
          </cell>
          <cell r="B6" t="str">
            <v>杨轶铭</v>
          </cell>
          <cell r="C6" t="str">
            <v>车辆工程</v>
          </cell>
          <cell r="D6" t="str">
            <v>精工2311</v>
          </cell>
          <cell r="E6">
            <v>43.099999999999994</v>
          </cell>
          <cell r="F6">
            <v>10</v>
          </cell>
          <cell r="G6">
            <v>1.3</v>
          </cell>
          <cell r="H6">
            <v>1.5</v>
          </cell>
          <cell r="I6">
            <v>4.5999999999999996</v>
          </cell>
          <cell r="J6">
            <v>17</v>
          </cell>
          <cell r="K6">
            <v>18.7</v>
          </cell>
        </row>
        <row r="7">
          <cell r="A7">
            <v>1120231642</v>
          </cell>
          <cell r="B7" t="str">
            <v>李鑫</v>
          </cell>
          <cell r="C7" t="str">
            <v>车辆工程</v>
          </cell>
          <cell r="D7" t="str">
            <v>精工2310</v>
          </cell>
          <cell r="E7">
            <v>32.1</v>
          </cell>
          <cell r="F7">
            <v>21</v>
          </cell>
          <cell r="G7">
            <v>3.5</v>
          </cell>
          <cell r="H7">
            <v>7.8</v>
          </cell>
          <cell r="I7">
            <v>8.5</v>
          </cell>
          <cell r="J7">
            <v>7.7</v>
          </cell>
          <cell r="K7">
            <v>4.5999999999999996</v>
          </cell>
        </row>
        <row r="8">
          <cell r="A8">
            <v>1120233376</v>
          </cell>
          <cell r="B8" t="str">
            <v>王乐桐</v>
          </cell>
          <cell r="C8" t="str">
            <v>车辆工程</v>
          </cell>
          <cell r="D8" t="str">
            <v>精工2312</v>
          </cell>
          <cell r="E8">
            <v>16.600000000000001</v>
          </cell>
          <cell r="F8">
            <v>44</v>
          </cell>
          <cell r="G8">
            <v>2.7</v>
          </cell>
          <cell r="H8">
            <v>5.7</v>
          </cell>
          <cell r="I8">
            <v>6.9</v>
          </cell>
          <cell r="J8">
            <v>0.6</v>
          </cell>
          <cell r="K8">
            <v>0.7</v>
          </cell>
        </row>
        <row r="9">
          <cell r="A9">
            <v>1120230216</v>
          </cell>
          <cell r="B9" t="str">
            <v>徐雷</v>
          </cell>
          <cell r="C9" t="str">
            <v>车辆工程</v>
          </cell>
          <cell r="D9" t="str">
            <v>精工2311</v>
          </cell>
          <cell r="E9">
            <v>31.6</v>
          </cell>
          <cell r="F9">
            <v>22</v>
          </cell>
          <cell r="G9">
            <v>5.7</v>
          </cell>
          <cell r="H9">
            <v>7.7</v>
          </cell>
          <cell r="I9">
            <v>5.9</v>
          </cell>
          <cell r="J9">
            <v>5.8</v>
          </cell>
          <cell r="K9">
            <v>6.5</v>
          </cell>
        </row>
        <row r="10">
          <cell r="A10">
            <v>1120232505</v>
          </cell>
          <cell r="B10" t="str">
            <v>王星媛</v>
          </cell>
          <cell r="C10" t="str">
            <v>车辆工程</v>
          </cell>
          <cell r="D10" t="str">
            <v>精工2312</v>
          </cell>
          <cell r="E10">
            <v>21.299999999999997</v>
          </cell>
          <cell r="F10">
            <v>39</v>
          </cell>
          <cell r="G10">
            <v>1</v>
          </cell>
          <cell r="H10">
            <v>3.5</v>
          </cell>
          <cell r="I10">
            <v>7.3</v>
          </cell>
          <cell r="J10">
            <v>5.6</v>
          </cell>
          <cell r="K10">
            <v>3.9</v>
          </cell>
        </row>
        <row r="11">
          <cell r="A11">
            <v>1120230370</v>
          </cell>
          <cell r="B11" t="str">
            <v>蒋濮羽</v>
          </cell>
          <cell r="C11" t="str">
            <v>车辆工程</v>
          </cell>
          <cell r="D11" t="str">
            <v>精工2313</v>
          </cell>
          <cell r="E11">
            <v>30.8</v>
          </cell>
          <cell r="F11">
            <v>23</v>
          </cell>
          <cell r="G11">
            <v>2.2999999999999998</v>
          </cell>
          <cell r="H11">
            <v>6.5</v>
          </cell>
          <cell r="I11">
            <v>12</v>
          </cell>
          <cell r="J11">
            <v>7.5</v>
          </cell>
          <cell r="K11">
            <v>2.5</v>
          </cell>
        </row>
        <row r="12">
          <cell r="A12">
            <v>1120231293</v>
          </cell>
          <cell r="B12" t="str">
            <v>谭星宇</v>
          </cell>
          <cell r="C12" t="str">
            <v>车辆工程</v>
          </cell>
          <cell r="D12" t="str">
            <v>精工2312</v>
          </cell>
          <cell r="E12">
            <v>23.25</v>
          </cell>
          <cell r="F12">
            <v>36</v>
          </cell>
          <cell r="G12">
            <v>2</v>
          </cell>
          <cell r="H12">
            <v>2.85</v>
          </cell>
          <cell r="I12">
            <v>4.3</v>
          </cell>
          <cell r="J12">
            <v>6.6</v>
          </cell>
          <cell r="K12">
            <v>7.5</v>
          </cell>
        </row>
        <row r="13">
          <cell r="A13">
            <v>1120231525</v>
          </cell>
          <cell r="B13" t="str">
            <v>尹梦萍</v>
          </cell>
          <cell r="C13" t="str">
            <v>车辆工程</v>
          </cell>
          <cell r="D13" t="str">
            <v>精工2311</v>
          </cell>
          <cell r="E13">
            <v>53</v>
          </cell>
          <cell r="F13">
            <v>5</v>
          </cell>
          <cell r="G13">
            <v>4.0999999999999996</v>
          </cell>
          <cell r="H13">
            <v>10.3</v>
          </cell>
          <cell r="I13">
            <v>8.8000000000000007</v>
          </cell>
          <cell r="J13">
            <v>7</v>
          </cell>
          <cell r="K13">
            <v>22.8</v>
          </cell>
        </row>
        <row r="14">
          <cell r="A14">
            <v>1120233251</v>
          </cell>
          <cell r="B14" t="str">
            <v>寸涛鸣</v>
          </cell>
          <cell r="C14" t="str">
            <v>车辆工程</v>
          </cell>
          <cell r="D14" t="str">
            <v>精工2311</v>
          </cell>
          <cell r="E14">
            <v>26.05</v>
          </cell>
          <cell r="F14">
            <v>29</v>
          </cell>
          <cell r="G14">
            <v>0.8</v>
          </cell>
          <cell r="H14">
            <v>2</v>
          </cell>
          <cell r="I14">
            <v>1.6</v>
          </cell>
          <cell r="J14">
            <v>3.6</v>
          </cell>
          <cell r="K14">
            <v>18.05</v>
          </cell>
        </row>
        <row r="15">
          <cell r="A15">
            <v>1120230994</v>
          </cell>
          <cell r="B15" t="str">
            <v>钟宇宸</v>
          </cell>
          <cell r="C15" t="str">
            <v>车辆工程</v>
          </cell>
          <cell r="D15" t="str">
            <v>精工2310</v>
          </cell>
          <cell r="E15">
            <v>17.45</v>
          </cell>
          <cell r="F15">
            <v>42</v>
          </cell>
          <cell r="G15">
            <v>1.9</v>
          </cell>
          <cell r="H15">
            <v>3.75</v>
          </cell>
          <cell r="I15">
            <v>5.5</v>
          </cell>
          <cell r="J15">
            <v>4.0999999999999996</v>
          </cell>
          <cell r="K15">
            <v>2.2000000000000002</v>
          </cell>
        </row>
        <row r="16">
          <cell r="A16">
            <v>1120230268</v>
          </cell>
          <cell r="B16" t="str">
            <v>彭琛朗</v>
          </cell>
          <cell r="C16" t="str">
            <v>车辆工程</v>
          </cell>
          <cell r="D16" t="str">
            <v>精工2312</v>
          </cell>
          <cell r="E16">
            <v>20.25</v>
          </cell>
          <cell r="F16">
            <v>40</v>
          </cell>
          <cell r="G16">
            <v>0.8</v>
          </cell>
          <cell r="H16">
            <v>2.2000000000000002</v>
          </cell>
          <cell r="I16">
            <v>6.35</v>
          </cell>
          <cell r="J16">
            <v>4.2</v>
          </cell>
          <cell r="K16">
            <v>6.7</v>
          </cell>
        </row>
        <row r="17">
          <cell r="A17">
            <v>1120232875</v>
          </cell>
          <cell r="B17" t="str">
            <v>何宣佐</v>
          </cell>
          <cell r="C17" t="str">
            <v>车辆工程</v>
          </cell>
          <cell r="D17" t="str">
            <v>精工2312</v>
          </cell>
          <cell r="E17">
            <v>28.9</v>
          </cell>
          <cell r="F17">
            <v>25</v>
          </cell>
          <cell r="G17">
            <v>2.4</v>
          </cell>
          <cell r="H17">
            <v>0.8</v>
          </cell>
          <cell r="I17">
            <v>12.2</v>
          </cell>
          <cell r="J17">
            <v>5</v>
          </cell>
          <cell r="K17">
            <v>8.5</v>
          </cell>
        </row>
        <row r="18">
          <cell r="A18">
            <v>1120233389</v>
          </cell>
          <cell r="B18" t="str">
            <v>韩金言</v>
          </cell>
          <cell r="C18" t="str">
            <v>车辆工程</v>
          </cell>
          <cell r="D18" t="str">
            <v>精工2313</v>
          </cell>
          <cell r="E18">
            <v>54</v>
          </cell>
          <cell r="F18">
            <v>3</v>
          </cell>
          <cell r="G18">
            <v>7</v>
          </cell>
          <cell r="H18">
            <v>10.5</v>
          </cell>
          <cell r="I18">
            <v>10.3</v>
          </cell>
          <cell r="J18">
            <v>15.7</v>
          </cell>
          <cell r="K18">
            <v>10.5</v>
          </cell>
        </row>
        <row r="19">
          <cell r="A19">
            <v>1120231016</v>
          </cell>
          <cell r="B19" t="str">
            <v>王为鸣</v>
          </cell>
          <cell r="C19" t="str">
            <v>车辆工程</v>
          </cell>
          <cell r="D19" t="str">
            <v>精工2313</v>
          </cell>
          <cell r="E19">
            <v>35.15</v>
          </cell>
          <cell r="F19">
            <v>18</v>
          </cell>
          <cell r="G19">
            <v>3.85</v>
          </cell>
          <cell r="H19">
            <v>7.3</v>
          </cell>
          <cell r="I19">
            <v>7.3</v>
          </cell>
          <cell r="J19">
            <v>10.9</v>
          </cell>
          <cell r="K19">
            <v>5.8</v>
          </cell>
        </row>
        <row r="20">
          <cell r="A20">
            <v>1120230828</v>
          </cell>
          <cell r="B20" t="str">
            <v>杨昇</v>
          </cell>
          <cell r="C20" t="str">
            <v>车辆工程</v>
          </cell>
          <cell r="D20" t="str">
            <v>精工2311</v>
          </cell>
          <cell r="E20">
            <v>18.05</v>
          </cell>
          <cell r="F20">
            <v>41</v>
          </cell>
          <cell r="G20">
            <v>2.65</v>
          </cell>
          <cell r="H20">
            <v>3</v>
          </cell>
          <cell r="I20">
            <v>2.2999999999999998</v>
          </cell>
          <cell r="J20">
            <v>3.8</v>
          </cell>
          <cell r="K20">
            <v>6.3</v>
          </cell>
        </row>
        <row r="21">
          <cell r="A21">
            <v>1120232293</v>
          </cell>
          <cell r="B21" t="str">
            <v>姜政宇</v>
          </cell>
          <cell r="C21" t="str">
            <v>车辆工程</v>
          </cell>
          <cell r="D21" t="str">
            <v>精工2311</v>
          </cell>
          <cell r="E21">
            <v>9</v>
          </cell>
          <cell r="F21">
            <v>69</v>
          </cell>
          <cell r="G21">
            <v>1.5</v>
          </cell>
          <cell r="H21">
            <v>2</v>
          </cell>
          <cell r="I21">
            <v>2</v>
          </cell>
          <cell r="J21">
            <v>2</v>
          </cell>
          <cell r="K21">
            <v>1.5</v>
          </cell>
        </row>
        <row r="22">
          <cell r="A22">
            <v>1120231622</v>
          </cell>
          <cell r="B22" t="str">
            <v>张建鹏</v>
          </cell>
          <cell r="C22" t="str">
            <v>车辆工程</v>
          </cell>
          <cell r="D22" t="str">
            <v>精工2313</v>
          </cell>
          <cell r="E22">
            <v>48.5</v>
          </cell>
          <cell r="F22">
            <v>7</v>
          </cell>
          <cell r="G22">
            <v>1</v>
          </cell>
          <cell r="H22">
            <v>8.9</v>
          </cell>
          <cell r="I22">
            <v>12</v>
          </cell>
          <cell r="J22">
            <v>12.8</v>
          </cell>
          <cell r="K22">
            <v>13.8</v>
          </cell>
        </row>
        <row r="23">
          <cell r="A23">
            <v>1120233387</v>
          </cell>
          <cell r="B23" t="str">
            <v>罗浩然</v>
          </cell>
          <cell r="C23" t="str">
            <v>车辆工程</v>
          </cell>
          <cell r="D23" t="str">
            <v>精工2313</v>
          </cell>
          <cell r="E23">
            <v>32.5</v>
          </cell>
          <cell r="F23">
            <v>20</v>
          </cell>
          <cell r="G23">
            <v>5.4</v>
          </cell>
          <cell r="H23">
            <v>1.5</v>
          </cell>
          <cell r="I23">
            <v>7.1</v>
          </cell>
          <cell r="J23">
            <v>5.9</v>
          </cell>
          <cell r="K23">
            <v>12.6</v>
          </cell>
        </row>
        <row r="24">
          <cell r="A24">
            <v>1120231656</v>
          </cell>
          <cell r="B24" t="str">
            <v>王敬源</v>
          </cell>
          <cell r="C24" t="str">
            <v>车辆工程</v>
          </cell>
          <cell r="D24" t="str">
            <v>精工2312</v>
          </cell>
          <cell r="E24">
            <v>15.5</v>
          </cell>
          <cell r="F24">
            <v>47</v>
          </cell>
          <cell r="G24">
            <v>2.6</v>
          </cell>
          <cell r="H24">
            <v>1.7</v>
          </cell>
          <cell r="I24">
            <v>5.5</v>
          </cell>
          <cell r="J24">
            <v>2</v>
          </cell>
          <cell r="K24">
            <v>3.7</v>
          </cell>
        </row>
        <row r="25">
          <cell r="A25">
            <v>1120231778</v>
          </cell>
          <cell r="B25" t="str">
            <v>杨光</v>
          </cell>
          <cell r="C25" t="str">
            <v>车辆工程</v>
          </cell>
          <cell r="D25" t="str">
            <v>精工2312</v>
          </cell>
          <cell r="E25">
            <v>12.55</v>
          </cell>
          <cell r="F25">
            <v>55</v>
          </cell>
          <cell r="G25">
            <v>0.5</v>
          </cell>
          <cell r="H25">
            <v>5</v>
          </cell>
          <cell r="I25">
            <v>4.3</v>
          </cell>
          <cell r="J25">
            <v>2</v>
          </cell>
          <cell r="K25">
            <v>0.75</v>
          </cell>
        </row>
        <row r="26">
          <cell r="A26">
            <v>1120232489</v>
          </cell>
          <cell r="B26" t="str">
            <v>仇自羽</v>
          </cell>
          <cell r="C26" t="str">
            <v>车辆工程</v>
          </cell>
          <cell r="D26" t="str">
            <v>精工2312</v>
          </cell>
          <cell r="E26">
            <v>40.099999999999994</v>
          </cell>
          <cell r="F26">
            <v>12</v>
          </cell>
          <cell r="G26">
            <v>3.2</v>
          </cell>
          <cell r="H26">
            <v>4.3</v>
          </cell>
          <cell r="I26">
            <v>16.399999999999999</v>
          </cell>
          <cell r="J26">
            <v>9.1999999999999993</v>
          </cell>
          <cell r="K26">
            <v>7</v>
          </cell>
        </row>
        <row r="27">
          <cell r="A27">
            <v>1120233006</v>
          </cell>
          <cell r="B27" t="str">
            <v>张焕纯</v>
          </cell>
          <cell r="C27" t="str">
            <v>车辆工程</v>
          </cell>
          <cell r="D27" t="str">
            <v>精工2310</v>
          </cell>
          <cell r="E27">
            <v>30</v>
          </cell>
          <cell r="F27">
            <v>24</v>
          </cell>
          <cell r="G27">
            <v>0</v>
          </cell>
          <cell r="H27">
            <v>1</v>
          </cell>
          <cell r="I27">
            <v>9</v>
          </cell>
          <cell r="J27">
            <v>10</v>
          </cell>
          <cell r="K27">
            <v>10</v>
          </cell>
        </row>
        <row r="28">
          <cell r="A28">
            <v>1120231612</v>
          </cell>
          <cell r="B28" t="str">
            <v>尹毅</v>
          </cell>
          <cell r="C28" t="str">
            <v>车辆工程</v>
          </cell>
          <cell r="D28" t="str">
            <v>精工2311</v>
          </cell>
          <cell r="E28">
            <v>25.19</v>
          </cell>
          <cell r="F28">
            <v>34</v>
          </cell>
          <cell r="G28">
            <v>0.2</v>
          </cell>
          <cell r="H28">
            <v>1.2</v>
          </cell>
          <cell r="I28">
            <v>5</v>
          </cell>
          <cell r="J28">
            <v>4.6500000000000004</v>
          </cell>
          <cell r="K28">
            <v>14.14</v>
          </cell>
        </row>
        <row r="29">
          <cell r="A29">
            <v>1120232495</v>
          </cell>
          <cell r="B29" t="str">
            <v>邹子航</v>
          </cell>
          <cell r="C29" t="str">
            <v>车辆工程</v>
          </cell>
          <cell r="D29" t="str">
            <v>精工2313</v>
          </cell>
          <cell r="E29">
            <v>37.39</v>
          </cell>
          <cell r="F29">
            <v>16</v>
          </cell>
          <cell r="G29">
            <v>0.3</v>
          </cell>
          <cell r="H29">
            <v>5.84</v>
          </cell>
          <cell r="I29">
            <v>17.399999999999999</v>
          </cell>
          <cell r="J29">
            <v>5.15</v>
          </cell>
          <cell r="K29">
            <v>8.6999999999999993</v>
          </cell>
        </row>
        <row r="30">
          <cell r="A30">
            <v>1120231631</v>
          </cell>
          <cell r="B30" t="str">
            <v>陈佳楠</v>
          </cell>
          <cell r="C30" t="str">
            <v>车辆工程</v>
          </cell>
          <cell r="D30" t="str">
            <v>精工2310</v>
          </cell>
          <cell r="E30">
            <v>16.100000000000001</v>
          </cell>
          <cell r="F30">
            <v>45</v>
          </cell>
          <cell r="G30">
            <v>0.5</v>
          </cell>
          <cell r="H30">
            <v>1.2</v>
          </cell>
          <cell r="I30">
            <v>5.3</v>
          </cell>
          <cell r="J30">
            <v>1.5</v>
          </cell>
          <cell r="K30">
            <v>7.6</v>
          </cell>
        </row>
        <row r="31">
          <cell r="A31">
            <v>1120231762</v>
          </cell>
          <cell r="B31" t="str">
            <v>曹清淞</v>
          </cell>
          <cell r="C31" t="str">
            <v>车辆工程</v>
          </cell>
          <cell r="D31" t="str">
            <v>精工2313</v>
          </cell>
          <cell r="E31">
            <v>38.099999999999994</v>
          </cell>
          <cell r="F31">
            <v>15</v>
          </cell>
          <cell r="G31">
            <v>1.7</v>
          </cell>
          <cell r="H31">
            <v>6.2</v>
          </cell>
          <cell r="I31">
            <v>9.4</v>
          </cell>
          <cell r="J31">
            <v>10.6</v>
          </cell>
          <cell r="K31">
            <v>10.199999999999999</v>
          </cell>
        </row>
        <row r="32">
          <cell r="A32">
            <v>1120232294</v>
          </cell>
          <cell r="B32" t="str">
            <v>王子卿</v>
          </cell>
          <cell r="C32" t="str">
            <v>车辆工程</v>
          </cell>
          <cell r="D32" t="str">
            <v>精工2310</v>
          </cell>
          <cell r="E32">
            <v>13.95</v>
          </cell>
          <cell r="F32">
            <v>50</v>
          </cell>
          <cell r="G32">
            <v>2.15</v>
          </cell>
          <cell r="H32">
            <v>1.7</v>
          </cell>
          <cell r="I32">
            <v>3.2</v>
          </cell>
          <cell r="J32">
            <v>5.7</v>
          </cell>
          <cell r="K32">
            <v>1.2</v>
          </cell>
        </row>
        <row r="33">
          <cell r="A33">
            <v>1120232903</v>
          </cell>
          <cell r="B33" t="str">
            <v>陈俊利</v>
          </cell>
          <cell r="C33" t="str">
            <v>车辆工程</v>
          </cell>
          <cell r="D33" t="str">
            <v>精工2312</v>
          </cell>
          <cell r="E33">
            <v>26</v>
          </cell>
          <cell r="F33">
            <v>30</v>
          </cell>
          <cell r="G33">
            <v>1.3</v>
          </cell>
          <cell r="H33">
            <v>3.2</v>
          </cell>
          <cell r="I33">
            <v>8.35</v>
          </cell>
          <cell r="J33">
            <v>6.15</v>
          </cell>
          <cell r="K33">
            <v>7</v>
          </cell>
        </row>
        <row r="34">
          <cell r="A34">
            <v>1120232761</v>
          </cell>
          <cell r="B34" t="str">
            <v>谌力</v>
          </cell>
          <cell r="C34" t="str">
            <v>车辆工程</v>
          </cell>
          <cell r="D34" t="str">
            <v>精工2311</v>
          </cell>
          <cell r="E34">
            <v>12.7</v>
          </cell>
          <cell r="F34">
            <v>54</v>
          </cell>
          <cell r="G34">
            <v>1.2</v>
          </cell>
          <cell r="H34">
            <v>2.2000000000000002</v>
          </cell>
          <cell r="I34">
            <v>2.2999999999999998</v>
          </cell>
          <cell r="J34">
            <v>2.5</v>
          </cell>
          <cell r="K34">
            <v>4.5</v>
          </cell>
        </row>
        <row r="35">
          <cell r="A35">
            <v>1120231358</v>
          </cell>
          <cell r="B35" t="str">
            <v>沈哲彦</v>
          </cell>
          <cell r="C35" t="str">
            <v>车辆工程</v>
          </cell>
          <cell r="D35" t="str">
            <v>精工2310</v>
          </cell>
          <cell r="E35">
            <v>46.400000000000006</v>
          </cell>
          <cell r="F35">
            <v>9</v>
          </cell>
          <cell r="G35">
            <v>2.7</v>
          </cell>
          <cell r="H35">
            <v>6.7</v>
          </cell>
          <cell r="I35">
            <v>11.6</v>
          </cell>
          <cell r="J35">
            <v>10.6</v>
          </cell>
          <cell r="K35">
            <v>14.8</v>
          </cell>
        </row>
        <row r="36">
          <cell r="A36">
            <v>1120233391</v>
          </cell>
          <cell r="B36" t="str">
            <v>暴雨泽</v>
          </cell>
          <cell r="C36" t="str">
            <v>车辆工程</v>
          </cell>
          <cell r="D36" t="str">
            <v>精工2311</v>
          </cell>
          <cell r="E36">
            <v>12.75</v>
          </cell>
          <cell r="F36">
            <v>53</v>
          </cell>
          <cell r="G36">
            <v>0.95</v>
          </cell>
          <cell r="H36">
            <v>1.8</v>
          </cell>
          <cell r="I36">
            <v>1.3</v>
          </cell>
          <cell r="J36">
            <v>1</v>
          </cell>
          <cell r="K36">
            <v>7.7</v>
          </cell>
        </row>
        <row r="37">
          <cell r="A37">
            <v>1120231433</v>
          </cell>
          <cell r="B37" t="str">
            <v>陈天润</v>
          </cell>
          <cell r="C37" t="str">
            <v>车辆工程</v>
          </cell>
          <cell r="D37" t="str">
            <v>精工2312</v>
          </cell>
          <cell r="E37">
            <v>34.28</v>
          </cell>
          <cell r="F37">
            <v>19</v>
          </cell>
          <cell r="G37">
            <v>1.8</v>
          </cell>
          <cell r="H37">
            <v>4.4800000000000004</v>
          </cell>
          <cell r="I37">
            <v>7.5</v>
          </cell>
          <cell r="J37">
            <v>10.8</v>
          </cell>
          <cell r="K37">
            <v>9.6999999999999993</v>
          </cell>
        </row>
        <row r="38">
          <cell r="A38">
            <v>1120231429</v>
          </cell>
          <cell r="B38" t="str">
            <v>蒋淞羽</v>
          </cell>
          <cell r="C38" t="str">
            <v>车辆工程</v>
          </cell>
          <cell r="D38" t="str">
            <v>精工2312</v>
          </cell>
          <cell r="E38">
            <v>22.400000000000002</v>
          </cell>
          <cell r="F38">
            <v>38</v>
          </cell>
          <cell r="G38">
            <v>4.8</v>
          </cell>
          <cell r="H38">
            <v>5.8</v>
          </cell>
          <cell r="I38">
            <v>4.7</v>
          </cell>
          <cell r="J38">
            <v>3.5</v>
          </cell>
          <cell r="K38">
            <v>3.6</v>
          </cell>
        </row>
        <row r="39">
          <cell r="A39">
            <v>1120231024</v>
          </cell>
          <cell r="B39" t="str">
            <v>罗薇</v>
          </cell>
          <cell r="C39" t="str">
            <v>车辆工程</v>
          </cell>
          <cell r="D39" t="str">
            <v>精工2313</v>
          </cell>
          <cell r="E39">
            <v>40</v>
          </cell>
          <cell r="F39">
            <v>13</v>
          </cell>
          <cell r="G39">
            <v>5.7</v>
          </cell>
          <cell r="H39">
            <v>8.1</v>
          </cell>
          <cell r="I39">
            <v>8.5</v>
          </cell>
          <cell r="J39">
            <v>8.6999999999999993</v>
          </cell>
          <cell r="K39">
            <v>9</v>
          </cell>
        </row>
        <row r="40">
          <cell r="A40">
            <v>1120232222</v>
          </cell>
          <cell r="B40" t="str">
            <v>陈禹男</v>
          </cell>
          <cell r="C40" t="str">
            <v>车辆工程</v>
          </cell>
          <cell r="D40" t="str">
            <v>精工2310</v>
          </cell>
          <cell r="E40">
            <v>28.3</v>
          </cell>
          <cell r="F40">
            <v>26</v>
          </cell>
          <cell r="G40">
            <v>1.8</v>
          </cell>
          <cell r="H40">
            <v>2</v>
          </cell>
          <cell r="I40">
            <v>2.6</v>
          </cell>
          <cell r="J40">
            <v>8.5</v>
          </cell>
          <cell r="K40">
            <v>13.4</v>
          </cell>
        </row>
        <row r="41">
          <cell r="A41">
            <v>1120231272</v>
          </cell>
          <cell r="B41" t="str">
            <v>麦钰淋</v>
          </cell>
          <cell r="C41" t="str">
            <v>车辆工程</v>
          </cell>
          <cell r="D41" t="str">
            <v>精工2310</v>
          </cell>
          <cell r="E41">
            <v>39.799999999999997</v>
          </cell>
          <cell r="F41">
            <v>14</v>
          </cell>
          <cell r="G41">
            <v>4.5999999999999996</v>
          </cell>
          <cell r="H41">
            <v>5</v>
          </cell>
          <cell r="I41">
            <v>9.3000000000000007</v>
          </cell>
          <cell r="J41">
            <v>7.9</v>
          </cell>
          <cell r="K41">
            <v>13</v>
          </cell>
        </row>
        <row r="42">
          <cell r="A42">
            <v>1120232760</v>
          </cell>
          <cell r="B42" t="str">
            <v>李夏昕</v>
          </cell>
          <cell r="C42" t="str">
            <v>车辆工程</v>
          </cell>
          <cell r="D42" t="str">
            <v>精工2311</v>
          </cell>
          <cell r="E42">
            <v>15.8</v>
          </cell>
          <cell r="F42">
            <v>46</v>
          </cell>
          <cell r="G42">
            <v>4.3</v>
          </cell>
          <cell r="H42">
            <v>2.6</v>
          </cell>
          <cell r="I42">
            <v>3.7</v>
          </cell>
          <cell r="J42">
            <v>2.2000000000000002</v>
          </cell>
          <cell r="K42">
            <v>3</v>
          </cell>
        </row>
        <row r="43">
          <cell r="A43">
            <v>1120232897</v>
          </cell>
          <cell r="B43" t="str">
            <v>闻方银</v>
          </cell>
          <cell r="C43" t="str">
            <v>车辆工程</v>
          </cell>
          <cell r="D43" t="str">
            <v>精工2313</v>
          </cell>
          <cell r="E43">
            <v>25.45</v>
          </cell>
          <cell r="F43">
            <v>33</v>
          </cell>
          <cell r="G43">
            <v>1.05</v>
          </cell>
          <cell r="H43">
            <v>3.2</v>
          </cell>
          <cell r="I43">
            <v>7.5</v>
          </cell>
          <cell r="J43">
            <v>7.7</v>
          </cell>
          <cell r="K43">
            <v>6</v>
          </cell>
        </row>
        <row r="44">
          <cell r="A44">
            <v>1120231020</v>
          </cell>
          <cell r="B44" t="str">
            <v>钟雨凌</v>
          </cell>
          <cell r="C44" t="str">
            <v>车辆工程</v>
          </cell>
          <cell r="D44" t="str">
            <v>精工2311</v>
          </cell>
          <cell r="E44">
            <v>0.5</v>
          </cell>
          <cell r="F44">
            <v>92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0.5</v>
          </cell>
        </row>
        <row r="45">
          <cell r="A45">
            <v>1120232867</v>
          </cell>
          <cell r="B45" t="str">
            <v>罗雨婷</v>
          </cell>
          <cell r="C45" t="str">
            <v>车辆工程</v>
          </cell>
          <cell r="D45" t="str">
            <v>精工2311</v>
          </cell>
          <cell r="E45">
            <v>23.05</v>
          </cell>
          <cell r="F45">
            <v>37</v>
          </cell>
          <cell r="G45">
            <v>0.45</v>
          </cell>
          <cell r="H45">
            <v>3.5</v>
          </cell>
          <cell r="I45">
            <v>6.8</v>
          </cell>
          <cell r="J45">
            <v>4.9000000000000004</v>
          </cell>
          <cell r="K45">
            <v>7.4</v>
          </cell>
        </row>
        <row r="46">
          <cell r="A46">
            <v>1120230418</v>
          </cell>
          <cell r="B46" t="str">
            <v>李君锋</v>
          </cell>
          <cell r="C46" t="str">
            <v>车辆工程</v>
          </cell>
          <cell r="D46" t="str">
            <v>精工2312</v>
          </cell>
          <cell r="E46">
            <v>0</v>
          </cell>
          <cell r="F46">
            <v>94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A47">
            <v>1120230980</v>
          </cell>
          <cell r="B47" t="str">
            <v>王伟威</v>
          </cell>
          <cell r="C47" t="str">
            <v>车辆工程</v>
          </cell>
          <cell r="D47" t="str">
            <v>精工2312</v>
          </cell>
          <cell r="E47">
            <v>8</v>
          </cell>
          <cell r="F47">
            <v>72</v>
          </cell>
          <cell r="G47">
            <v>1.7</v>
          </cell>
          <cell r="H47">
            <v>1</v>
          </cell>
          <cell r="I47">
            <v>2.2999999999999998</v>
          </cell>
          <cell r="J47">
            <v>3</v>
          </cell>
          <cell r="K47">
            <v>0</v>
          </cell>
        </row>
        <row r="48">
          <cell r="A48">
            <v>1120231777</v>
          </cell>
          <cell r="B48" t="str">
            <v>于皓冰</v>
          </cell>
          <cell r="C48" t="str">
            <v>车辆工程</v>
          </cell>
          <cell r="D48" t="str">
            <v>精工2310</v>
          </cell>
          <cell r="E48">
            <v>36.65</v>
          </cell>
          <cell r="F48">
            <v>17</v>
          </cell>
          <cell r="G48">
            <v>1.75</v>
          </cell>
          <cell r="H48">
            <v>10.7</v>
          </cell>
          <cell r="I48">
            <v>9.1999999999999993</v>
          </cell>
          <cell r="J48">
            <v>4.8</v>
          </cell>
          <cell r="K48">
            <v>10.199999999999999</v>
          </cell>
        </row>
        <row r="49">
          <cell r="A49">
            <v>1120230997</v>
          </cell>
          <cell r="B49" t="str">
            <v>周明霞</v>
          </cell>
          <cell r="C49" t="str">
            <v>车辆工程</v>
          </cell>
          <cell r="D49" t="str">
            <v>精工2313</v>
          </cell>
          <cell r="E49">
            <v>25.5</v>
          </cell>
          <cell r="F49">
            <v>32</v>
          </cell>
          <cell r="G49">
            <v>3</v>
          </cell>
          <cell r="H49">
            <v>5.5</v>
          </cell>
          <cell r="I49">
            <v>4.8</v>
          </cell>
          <cell r="J49">
            <v>4.5</v>
          </cell>
          <cell r="K49">
            <v>7.7</v>
          </cell>
        </row>
        <row r="50">
          <cell r="A50">
            <v>1120231425</v>
          </cell>
          <cell r="B50" t="str">
            <v>周姜</v>
          </cell>
          <cell r="C50" t="str">
            <v>车辆工程</v>
          </cell>
          <cell r="D50" t="str">
            <v>精工2311</v>
          </cell>
          <cell r="E50">
            <v>47.8</v>
          </cell>
          <cell r="F50">
            <v>8</v>
          </cell>
          <cell r="G50">
            <v>1.3</v>
          </cell>
          <cell r="H50">
            <v>6.45</v>
          </cell>
          <cell r="I50">
            <v>17.3</v>
          </cell>
          <cell r="J50">
            <v>14.1</v>
          </cell>
          <cell r="K50">
            <v>8.65</v>
          </cell>
        </row>
        <row r="51">
          <cell r="A51">
            <v>1120232217</v>
          </cell>
          <cell r="B51" t="str">
            <v>黄虹琳</v>
          </cell>
          <cell r="C51" t="str">
            <v>车辆工程</v>
          </cell>
          <cell r="D51" t="str">
            <v>精工2313</v>
          </cell>
          <cell r="E51">
            <v>53.3</v>
          </cell>
          <cell r="F51">
            <v>4</v>
          </cell>
          <cell r="G51">
            <v>2.6</v>
          </cell>
          <cell r="H51">
            <v>9.5</v>
          </cell>
          <cell r="I51">
            <v>12.4</v>
          </cell>
          <cell r="J51">
            <v>9.4</v>
          </cell>
          <cell r="K51">
            <v>19.399999999999999</v>
          </cell>
        </row>
        <row r="52">
          <cell r="A52">
            <v>1120232298</v>
          </cell>
          <cell r="B52" t="str">
            <v>闫天傲</v>
          </cell>
          <cell r="C52" t="str">
            <v>车辆工程</v>
          </cell>
          <cell r="D52" t="str">
            <v>精工2313</v>
          </cell>
          <cell r="E52">
            <v>10.5</v>
          </cell>
          <cell r="F52">
            <v>64</v>
          </cell>
          <cell r="G52">
            <v>1.5</v>
          </cell>
          <cell r="H52">
            <v>1</v>
          </cell>
          <cell r="I52">
            <v>4.2</v>
          </cell>
          <cell r="J52">
            <v>0.8</v>
          </cell>
          <cell r="K52">
            <v>3</v>
          </cell>
        </row>
        <row r="53">
          <cell r="A53">
            <v>1120233383</v>
          </cell>
          <cell r="B53" t="str">
            <v>郭宇轩</v>
          </cell>
          <cell r="C53" t="str">
            <v>车辆工程</v>
          </cell>
          <cell r="D53" t="str">
            <v>精工2311</v>
          </cell>
          <cell r="E53">
            <v>25.7</v>
          </cell>
          <cell r="F53">
            <v>31</v>
          </cell>
          <cell r="G53">
            <v>1.3</v>
          </cell>
          <cell r="H53">
            <v>2.7</v>
          </cell>
          <cell r="I53">
            <v>7</v>
          </cell>
          <cell r="J53">
            <v>4.2</v>
          </cell>
          <cell r="K53">
            <v>10.5</v>
          </cell>
        </row>
        <row r="54">
          <cell r="A54">
            <v>1120233420</v>
          </cell>
          <cell r="B54" t="str">
            <v>舒详淋</v>
          </cell>
          <cell r="C54" t="str">
            <v>车辆工程</v>
          </cell>
          <cell r="D54" t="str">
            <v>精工2311</v>
          </cell>
          <cell r="E54">
            <v>10.799999999999999</v>
          </cell>
          <cell r="F54">
            <v>62</v>
          </cell>
          <cell r="G54">
            <v>3.5</v>
          </cell>
          <cell r="H54">
            <v>5.0999999999999996</v>
          </cell>
          <cell r="I54">
            <v>0.5</v>
          </cell>
          <cell r="J54">
            <v>0.5</v>
          </cell>
          <cell r="K54">
            <v>1.2</v>
          </cell>
        </row>
        <row r="55">
          <cell r="A55">
            <v>1120230047</v>
          </cell>
          <cell r="B55" t="str">
            <v>李岳鸿</v>
          </cell>
          <cell r="C55" t="str">
            <v>车辆工程</v>
          </cell>
          <cell r="D55" t="str">
            <v>精工2312</v>
          </cell>
          <cell r="E55">
            <v>14.7</v>
          </cell>
          <cell r="F55">
            <v>49</v>
          </cell>
          <cell r="G55">
            <v>1.7</v>
          </cell>
          <cell r="H55">
            <v>5</v>
          </cell>
          <cell r="I55">
            <v>4</v>
          </cell>
          <cell r="J55">
            <v>3</v>
          </cell>
          <cell r="K55">
            <v>1</v>
          </cell>
        </row>
        <row r="56">
          <cell r="A56">
            <v>1120232911</v>
          </cell>
          <cell r="B56" t="str">
            <v>魏志先</v>
          </cell>
          <cell r="C56" t="str">
            <v>车辆工程</v>
          </cell>
          <cell r="D56" t="str">
            <v>精工2312</v>
          </cell>
          <cell r="E56">
            <v>53</v>
          </cell>
          <cell r="F56">
            <v>5</v>
          </cell>
          <cell r="G56">
            <v>3.9</v>
          </cell>
          <cell r="H56">
            <v>3.9</v>
          </cell>
          <cell r="I56">
            <v>18.2</v>
          </cell>
          <cell r="J56">
            <v>9.6999999999999993</v>
          </cell>
          <cell r="K56">
            <v>17.3</v>
          </cell>
        </row>
        <row r="57">
          <cell r="A57">
            <v>1120231766</v>
          </cell>
          <cell r="B57" t="str">
            <v>王佳仪</v>
          </cell>
          <cell r="C57" t="str">
            <v>车辆工程</v>
          </cell>
          <cell r="D57" t="str">
            <v>精工2312</v>
          </cell>
          <cell r="E57">
            <v>8.625</v>
          </cell>
          <cell r="F57">
            <v>70</v>
          </cell>
          <cell r="G57">
            <v>2.65</v>
          </cell>
          <cell r="H57">
            <v>1.2</v>
          </cell>
          <cell r="I57">
            <v>1.2250000000000001</v>
          </cell>
          <cell r="J57">
            <v>1.2</v>
          </cell>
          <cell r="K57">
            <v>2.35</v>
          </cell>
        </row>
        <row r="58">
          <cell r="A58">
            <v>1120231638</v>
          </cell>
          <cell r="B58" t="str">
            <v>王映淳</v>
          </cell>
          <cell r="C58" t="str">
            <v>车辆工程</v>
          </cell>
          <cell r="D58" t="str">
            <v>精工2313</v>
          </cell>
          <cell r="E58">
            <v>26.35</v>
          </cell>
          <cell r="F58">
            <v>27</v>
          </cell>
          <cell r="G58">
            <v>2.7</v>
          </cell>
          <cell r="H58">
            <v>1.35</v>
          </cell>
          <cell r="I58">
            <v>11.3</v>
          </cell>
          <cell r="J58">
            <v>3.6</v>
          </cell>
          <cell r="K58">
            <v>7.4</v>
          </cell>
        </row>
        <row r="59">
          <cell r="A59">
            <v>1120232054</v>
          </cell>
          <cell r="B59" t="str">
            <v>覃薇菲</v>
          </cell>
          <cell r="C59" t="str">
            <v>车辆工程</v>
          </cell>
          <cell r="D59" t="str">
            <v>精工2312</v>
          </cell>
          <cell r="E59">
            <v>9.85</v>
          </cell>
          <cell r="F59">
            <v>66</v>
          </cell>
          <cell r="G59">
            <v>0.55000000000000004</v>
          </cell>
          <cell r="H59">
            <v>1.5</v>
          </cell>
          <cell r="I59">
            <v>1.8</v>
          </cell>
          <cell r="J59">
            <v>1</v>
          </cell>
          <cell r="K59">
            <v>5</v>
          </cell>
        </row>
        <row r="60">
          <cell r="A60">
            <v>1120232876</v>
          </cell>
          <cell r="B60" t="str">
            <v>周宗鑫</v>
          </cell>
          <cell r="C60" t="str">
            <v>车辆工程</v>
          </cell>
          <cell r="D60" t="str">
            <v>精工2310</v>
          </cell>
          <cell r="E60">
            <v>0.15000000000000002</v>
          </cell>
          <cell r="F60">
            <v>93</v>
          </cell>
          <cell r="G60">
            <v>0</v>
          </cell>
          <cell r="H60">
            <v>-0.5</v>
          </cell>
          <cell r="I60">
            <v>0.15</v>
          </cell>
          <cell r="J60">
            <v>0.5</v>
          </cell>
          <cell r="K60">
            <v>0</v>
          </cell>
        </row>
        <row r="61">
          <cell r="A61">
            <v>1120232909</v>
          </cell>
          <cell r="B61" t="str">
            <v>杨照</v>
          </cell>
          <cell r="C61" t="str">
            <v>车辆工程</v>
          </cell>
          <cell r="D61" t="str">
            <v>精工2313</v>
          </cell>
          <cell r="E61">
            <v>13.5</v>
          </cell>
          <cell r="F61">
            <v>51</v>
          </cell>
          <cell r="G61">
            <v>1.6</v>
          </cell>
          <cell r="H61">
            <v>3.3</v>
          </cell>
          <cell r="I61">
            <v>2.6</v>
          </cell>
          <cell r="J61">
            <v>5</v>
          </cell>
          <cell r="K61">
            <v>1</v>
          </cell>
        </row>
        <row r="62">
          <cell r="A62">
            <v>1120232303</v>
          </cell>
          <cell r="B62" t="str">
            <v>杨雨润</v>
          </cell>
          <cell r="C62" t="str">
            <v>车辆工程</v>
          </cell>
          <cell r="D62" t="str">
            <v>精工2312</v>
          </cell>
          <cell r="E62">
            <v>10.8</v>
          </cell>
          <cell r="F62">
            <v>62</v>
          </cell>
          <cell r="G62">
            <v>2.1</v>
          </cell>
          <cell r="H62">
            <v>3.3</v>
          </cell>
          <cell r="I62">
            <v>4.2</v>
          </cell>
          <cell r="J62">
            <v>0</v>
          </cell>
          <cell r="K62">
            <v>1.2</v>
          </cell>
        </row>
        <row r="63">
          <cell r="A63">
            <v>1120230582</v>
          </cell>
          <cell r="B63" t="str">
            <v>车睿</v>
          </cell>
          <cell r="C63" t="str">
            <v>车辆工程</v>
          </cell>
          <cell r="D63" t="str">
            <v>精工2311</v>
          </cell>
          <cell r="E63">
            <v>23.490000000000002</v>
          </cell>
          <cell r="F63">
            <v>35</v>
          </cell>
          <cell r="G63">
            <v>1.05</v>
          </cell>
          <cell r="H63">
            <v>4.04</v>
          </cell>
          <cell r="I63">
            <v>6.6</v>
          </cell>
          <cell r="J63">
            <v>10.3</v>
          </cell>
          <cell r="K63">
            <v>1.5</v>
          </cell>
        </row>
        <row r="64">
          <cell r="A64">
            <v>1120230721</v>
          </cell>
          <cell r="B64" t="str">
            <v>赵一婷</v>
          </cell>
          <cell r="C64" t="str">
            <v>车辆工程</v>
          </cell>
          <cell r="D64" t="str">
            <v>精工2310</v>
          </cell>
          <cell r="E64">
            <v>10.45</v>
          </cell>
          <cell r="F64">
            <v>65</v>
          </cell>
          <cell r="G64">
            <v>2.15</v>
          </cell>
          <cell r="H64">
            <v>2.2999999999999998</v>
          </cell>
          <cell r="I64">
            <v>3.5</v>
          </cell>
          <cell r="J64">
            <v>2.5</v>
          </cell>
          <cell r="K64">
            <v>0</v>
          </cell>
        </row>
        <row r="65">
          <cell r="A65">
            <v>1120231189</v>
          </cell>
          <cell r="B65" t="str">
            <v>姚烨</v>
          </cell>
          <cell r="C65" t="str">
            <v>车辆工程</v>
          </cell>
          <cell r="D65" t="str">
            <v>精工2310</v>
          </cell>
          <cell r="E65">
            <v>2.2999999999999998</v>
          </cell>
          <cell r="F65">
            <v>88</v>
          </cell>
          <cell r="G65">
            <v>0</v>
          </cell>
          <cell r="H65">
            <v>0.2</v>
          </cell>
          <cell r="I65">
            <v>1.2</v>
          </cell>
          <cell r="J65">
            <v>0.7</v>
          </cell>
          <cell r="K65">
            <v>0.2</v>
          </cell>
        </row>
        <row r="66">
          <cell r="A66">
            <v>1120230989</v>
          </cell>
          <cell r="B66" t="str">
            <v>付佳成</v>
          </cell>
          <cell r="C66" t="str">
            <v>车辆工程</v>
          </cell>
          <cell r="D66" t="str">
            <v>精工2310</v>
          </cell>
          <cell r="E66">
            <v>12</v>
          </cell>
          <cell r="F66">
            <v>58</v>
          </cell>
          <cell r="G66">
            <v>0.2</v>
          </cell>
          <cell r="H66">
            <v>0.8</v>
          </cell>
          <cell r="I66">
            <v>2.5</v>
          </cell>
          <cell r="J66">
            <v>3</v>
          </cell>
          <cell r="K66">
            <v>5.5</v>
          </cell>
        </row>
        <row r="67">
          <cell r="A67">
            <v>1120232215</v>
          </cell>
          <cell r="B67" t="str">
            <v>陈伟杰</v>
          </cell>
          <cell r="C67" t="str">
            <v>车辆工程</v>
          </cell>
          <cell r="D67" t="str">
            <v>精工2313</v>
          </cell>
          <cell r="E67">
            <v>11.09</v>
          </cell>
          <cell r="F67">
            <v>61</v>
          </cell>
          <cell r="G67">
            <v>1.2</v>
          </cell>
          <cell r="H67">
            <v>2.4</v>
          </cell>
          <cell r="I67">
            <v>2.2000000000000002</v>
          </cell>
          <cell r="J67">
            <v>5.09</v>
          </cell>
          <cell r="K67">
            <v>0.2</v>
          </cell>
        </row>
        <row r="68">
          <cell r="A68">
            <v>1120231432</v>
          </cell>
          <cell r="B68" t="str">
            <v>高梓翔</v>
          </cell>
          <cell r="C68" t="str">
            <v>车辆工程</v>
          </cell>
          <cell r="D68" t="str">
            <v>精工2312</v>
          </cell>
          <cell r="E68">
            <v>12.000000000000002</v>
          </cell>
          <cell r="F68">
            <v>58</v>
          </cell>
          <cell r="G68">
            <v>3</v>
          </cell>
          <cell r="H68">
            <v>1.3</v>
          </cell>
          <cell r="I68">
            <v>4</v>
          </cell>
          <cell r="J68">
            <v>2.8</v>
          </cell>
          <cell r="K68">
            <v>0.9</v>
          </cell>
        </row>
        <row r="69">
          <cell r="A69">
            <v>1120231022</v>
          </cell>
          <cell r="B69" t="str">
            <v>廖世敏</v>
          </cell>
          <cell r="C69" t="str">
            <v>车辆工程</v>
          </cell>
          <cell r="D69" t="str">
            <v>精工2310</v>
          </cell>
          <cell r="E69">
            <v>2.4500000000000002</v>
          </cell>
          <cell r="F69">
            <v>87</v>
          </cell>
          <cell r="G69">
            <v>0</v>
          </cell>
          <cell r="H69">
            <v>0.1</v>
          </cell>
          <cell r="I69">
            <v>1</v>
          </cell>
          <cell r="J69">
            <v>1.35</v>
          </cell>
          <cell r="K69">
            <v>0</v>
          </cell>
        </row>
        <row r="70">
          <cell r="A70">
            <v>1120230715</v>
          </cell>
          <cell r="B70" t="str">
            <v>王建锟</v>
          </cell>
          <cell r="C70" t="str">
            <v>车辆工程</v>
          </cell>
          <cell r="D70" t="str">
            <v>精工2310</v>
          </cell>
          <cell r="E70">
            <v>16.899999999999999</v>
          </cell>
          <cell r="F70">
            <v>43</v>
          </cell>
          <cell r="G70">
            <v>6.9</v>
          </cell>
          <cell r="H70">
            <v>0.8</v>
          </cell>
          <cell r="I70">
            <v>1.8</v>
          </cell>
          <cell r="J70">
            <v>2.9</v>
          </cell>
          <cell r="K70">
            <v>4.5</v>
          </cell>
        </row>
        <row r="71">
          <cell r="A71">
            <v>1120232873</v>
          </cell>
          <cell r="B71" t="str">
            <v>周一多</v>
          </cell>
          <cell r="C71" t="str">
            <v>车辆工程</v>
          </cell>
          <cell r="D71" t="str">
            <v>精工2310</v>
          </cell>
          <cell r="E71">
            <v>5.0000000000000009</v>
          </cell>
          <cell r="F71">
            <v>80</v>
          </cell>
          <cell r="G71">
            <v>0.2</v>
          </cell>
          <cell r="H71">
            <v>0.2</v>
          </cell>
          <cell r="I71">
            <v>1.2</v>
          </cell>
          <cell r="J71">
            <v>3.2</v>
          </cell>
          <cell r="K71">
            <v>0.2</v>
          </cell>
        </row>
        <row r="72">
          <cell r="A72">
            <v>1120230391</v>
          </cell>
          <cell r="B72" t="str">
            <v>张恒</v>
          </cell>
          <cell r="C72" t="str">
            <v>车辆工程</v>
          </cell>
          <cell r="D72" t="str">
            <v>精工2313</v>
          </cell>
          <cell r="E72">
            <v>5.3000000000000007</v>
          </cell>
          <cell r="F72">
            <v>79</v>
          </cell>
          <cell r="G72">
            <v>1.2</v>
          </cell>
          <cell r="H72">
            <v>2</v>
          </cell>
          <cell r="I72">
            <v>0.2</v>
          </cell>
          <cell r="J72">
            <v>0.9</v>
          </cell>
          <cell r="K72">
            <v>1</v>
          </cell>
        </row>
        <row r="73">
          <cell r="A73">
            <v>1120232045</v>
          </cell>
          <cell r="B73" t="str">
            <v>王明洋</v>
          </cell>
          <cell r="C73" t="str">
            <v>车辆工程</v>
          </cell>
          <cell r="D73" t="str">
            <v>精工2311</v>
          </cell>
          <cell r="E73">
            <v>5.4</v>
          </cell>
          <cell r="F73">
            <v>78</v>
          </cell>
          <cell r="G73">
            <v>1</v>
          </cell>
          <cell r="H73">
            <v>2</v>
          </cell>
          <cell r="I73">
            <v>1.2</v>
          </cell>
          <cell r="J73">
            <v>0.7</v>
          </cell>
          <cell r="K73">
            <v>0.5</v>
          </cell>
        </row>
        <row r="74">
          <cell r="A74">
            <v>1120230998</v>
          </cell>
          <cell r="B74" t="str">
            <v>胥健</v>
          </cell>
          <cell r="C74" t="str">
            <v>车辆工程</v>
          </cell>
          <cell r="D74" t="str">
            <v>精工2311</v>
          </cell>
          <cell r="E74">
            <v>11.35</v>
          </cell>
          <cell r="F74">
            <v>60</v>
          </cell>
          <cell r="G74">
            <v>1.5</v>
          </cell>
          <cell r="H74">
            <v>1.6</v>
          </cell>
          <cell r="I74">
            <v>1.6</v>
          </cell>
          <cell r="J74">
            <v>4.95</v>
          </cell>
          <cell r="K74">
            <v>1.7</v>
          </cell>
        </row>
        <row r="75">
          <cell r="A75">
            <v>1120231284</v>
          </cell>
          <cell r="B75" t="str">
            <v>石晋硕</v>
          </cell>
          <cell r="C75" t="str">
            <v>车辆工程</v>
          </cell>
          <cell r="D75" t="str">
            <v>精工2313</v>
          </cell>
          <cell r="E75">
            <v>3.55</v>
          </cell>
          <cell r="F75">
            <v>84</v>
          </cell>
          <cell r="G75">
            <v>1.6</v>
          </cell>
          <cell r="H75">
            <v>1.2</v>
          </cell>
          <cell r="I75">
            <v>0.35</v>
          </cell>
          <cell r="J75">
            <v>0.4</v>
          </cell>
          <cell r="K75">
            <v>0</v>
          </cell>
        </row>
        <row r="76">
          <cell r="A76">
            <v>1120232490</v>
          </cell>
          <cell r="B76" t="str">
            <v>张胤泓</v>
          </cell>
          <cell r="C76" t="str">
            <v>车辆工程</v>
          </cell>
          <cell r="D76" t="str">
            <v>精工2313</v>
          </cell>
          <cell r="E76">
            <v>7.1</v>
          </cell>
          <cell r="F76">
            <v>74</v>
          </cell>
          <cell r="G76">
            <v>1.9</v>
          </cell>
          <cell r="H76">
            <v>0.2</v>
          </cell>
          <cell r="I76">
            <v>2.5</v>
          </cell>
          <cell r="J76">
            <v>1.5</v>
          </cell>
          <cell r="K76">
            <v>1</v>
          </cell>
        </row>
        <row r="77">
          <cell r="A77">
            <v>1120232484</v>
          </cell>
          <cell r="B77" t="str">
            <v>孙源</v>
          </cell>
          <cell r="C77" t="str">
            <v>车辆工程</v>
          </cell>
          <cell r="D77" t="str">
            <v>精工2313</v>
          </cell>
          <cell r="E77">
            <v>3.9000000000000004</v>
          </cell>
          <cell r="F77">
            <v>83</v>
          </cell>
          <cell r="G77">
            <v>0.2</v>
          </cell>
          <cell r="H77">
            <v>0.2</v>
          </cell>
          <cell r="I77">
            <v>1.2</v>
          </cell>
          <cell r="J77">
            <v>1.1000000000000001</v>
          </cell>
          <cell r="K77">
            <v>1.2</v>
          </cell>
        </row>
        <row r="78">
          <cell r="A78">
            <v>1120231362</v>
          </cell>
          <cell r="B78" t="str">
            <v>钟宇皓</v>
          </cell>
          <cell r="C78" t="str">
            <v>车辆工程</v>
          </cell>
          <cell r="D78" t="str">
            <v>精工2311</v>
          </cell>
          <cell r="E78">
            <v>9.3000000000000007</v>
          </cell>
          <cell r="F78">
            <v>68</v>
          </cell>
          <cell r="G78">
            <v>2.2000000000000002</v>
          </cell>
          <cell r="H78">
            <v>1</v>
          </cell>
          <cell r="I78">
            <v>2.8</v>
          </cell>
          <cell r="J78">
            <v>2</v>
          </cell>
          <cell r="K78">
            <v>1.3</v>
          </cell>
        </row>
        <row r="79">
          <cell r="A79">
            <v>1120233020</v>
          </cell>
          <cell r="B79" t="str">
            <v>黄广</v>
          </cell>
          <cell r="C79" t="str">
            <v>车辆工程</v>
          </cell>
          <cell r="D79" t="str">
            <v>精工2311</v>
          </cell>
          <cell r="E79">
            <v>6.95</v>
          </cell>
          <cell r="F79">
            <v>75</v>
          </cell>
          <cell r="G79">
            <v>0.3</v>
          </cell>
          <cell r="H79">
            <v>1.3</v>
          </cell>
          <cell r="I79">
            <v>2.25</v>
          </cell>
          <cell r="J79">
            <v>2.1</v>
          </cell>
          <cell r="K79">
            <v>1</v>
          </cell>
        </row>
        <row r="80">
          <cell r="A80">
            <v>1120232502</v>
          </cell>
          <cell r="B80" t="str">
            <v>后冉杰</v>
          </cell>
          <cell r="C80" t="str">
            <v>车辆工程</v>
          </cell>
          <cell r="D80" t="str">
            <v>精工2310</v>
          </cell>
          <cell r="E80">
            <v>4.2</v>
          </cell>
          <cell r="F80">
            <v>82</v>
          </cell>
          <cell r="G80">
            <v>1.6</v>
          </cell>
          <cell r="H80">
            <v>0.2</v>
          </cell>
          <cell r="I80">
            <v>0.9</v>
          </cell>
          <cell r="J80">
            <v>1.5</v>
          </cell>
          <cell r="K80">
            <v>0</v>
          </cell>
        </row>
        <row r="81">
          <cell r="A81">
            <v>1120232283</v>
          </cell>
          <cell r="B81" t="str">
            <v>赵骏林</v>
          </cell>
          <cell r="C81" t="str">
            <v>车辆工程</v>
          </cell>
          <cell r="D81" t="str">
            <v>精工2312</v>
          </cell>
          <cell r="E81">
            <v>14.95</v>
          </cell>
          <cell r="F81">
            <v>48</v>
          </cell>
          <cell r="G81">
            <v>2.2000000000000002</v>
          </cell>
          <cell r="H81">
            <v>1.2</v>
          </cell>
          <cell r="I81">
            <v>5.9</v>
          </cell>
          <cell r="J81">
            <v>2.2000000000000002</v>
          </cell>
          <cell r="K81">
            <v>3.45</v>
          </cell>
        </row>
        <row r="82">
          <cell r="A82">
            <v>1120230388</v>
          </cell>
          <cell r="B82" t="str">
            <v>徐传东</v>
          </cell>
          <cell r="C82" t="str">
            <v>车辆工程</v>
          </cell>
          <cell r="D82" t="str">
            <v>精工2311</v>
          </cell>
          <cell r="E82">
            <v>9.5500000000000007</v>
          </cell>
          <cell r="F82">
            <v>67</v>
          </cell>
          <cell r="G82">
            <v>1.9</v>
          </cell>
          <cell r="H82">
            <v>1.45</v>
          </cell>
          <cell r="I82">
            <v>1.5</v>
          </cell>
          <cell r="J82">
            <v>1.5</v>
          </cell>
          <cell r="K82">
            <v>3.2</v>
          </cell>
        </row>
        <row r="83">
          <cell r="A83">
            <v>1120231278</v>
          </cell>
          <cell r="B83" t="str">
            <v>韦懿桐</v>
          </cell>
          <cell r="C83" t="str">
            <v>车辆工程</v>
          </cell>
          <cell r="D83" t="str">
            <v>精工2312</v>
          </cell>
          <cell r="E83">
            <v>12.799999999999999</v>
          </cell>
          <cell r="F83">
            <v>52</v>
          </cell>
          <cell r="G83">
            <v>4.3</v>
          </cell>
          <cell r="H83">
            <v>4.5999999999999996</v>
          </cell>
          <cell r="I83">
            <v>1</v>
          </cell>
          <cell r="J83">
            <v>2.9</v>
          </cell>
          <cell r="K83">
            <v>0</v>
          </cell>
        </row>
        <row r="84">
          <cell r="A84">
            <v>1120232899</v>
          </cell>
          <cell r="B84" t="str">
            <v>邓迦</v>
          </cell>
          <cell r="C84" t="str">
            <v>车辆工程</v>
          </cell>
          <cell r="D84" t="str">
            <v>精工2312</v>
          </cell>
          <cell r="E84">
            <v>0.8</v>
          </cell>
          <cell r="F84">
            <v>91</v>
          </cell>
          <cell r="G84">
            <v>0.3</v>
          </cell>
          <cell r="H84">
            <v>0</v>
          </cell>
          <cell r="I84">
            <v>0.5</v>
          </cell>
          <cell r="J84">
            <v>0</v>
          </cell>
          <cell r="K84">
            <v>0</v>
          </cell>
        </row>
        <row r="85">
          <cell r="A85">
            <v>1120232301</v>
          </cell>
          <cell r="B85" t="str">
            <v>张熙源</v>
          </cell>
          <cell r="C85" t="str">
            <v>车辆工程</v>
          </cell>
          <cell r="D85" t="str">
            <v>精工2311</v>
          </cell>
          <cell r="E85">
            <v>12.15</v>
          </cell>
          <cell r="F85">
            <v>57</v>
          </cell>
          <cell r="G85">
            <v>2.5</v>
          </cell>
          <cell r="H85">
            <v>2.35</v>
          </cell>
          <cell r="I85">
            <v>3.5</v>
          </cell>
          <cell r="J85">
            <v>2.4</v>
          </cell>
          <cell r="K85">
            <v>1.4</v>
          </cell>
        </row>
        <row r="86">
          <cell r="A86">
            <v>1120230987</v>
          </cell>
          <cell r="B86" t="str">
            <v>陈奕</v>
          </cell>
          <cell r="C86" t="str">
            <v>车辆工程</v>
          </cell>
          <cell r="D86" t="str">
            <v>精工2313</v>
          </cell>
          <cell r="E86">
            <v>4.75</v>
          </cell>
          <cell r="F86">
            <v>81</v>
          </cell>
          <cell r="G86">
            <v>0.75</v>
          </cell>
          <cell r="H86">
            <v>2.5</v>
          </cell>
          <cell r="I86">
            <v>1</v>
          </cell>
          <cell r="J86">
            <v>0.5</v>
          </cell>
          <cell r="K86">
            <v>0</v>
          </cell>
        </row>
        <row r="87">
          <cell r="A87">
            <v>1120230372</v>
          </cell>
          <cell r="B87" t="str">
            <v>袁博</v>
          </cell>
          <cell r="C87" t="str">
            <v>车辆工程</v>
          </cell>
          <cell r="D87" t="str">
            <v>精工2312</v>
          </cell>
          <cell r="E87">
            <v>12.5</v>
          </cell>
          <cell r="F87">
            <v>56</v>
          </cell>
          <cell r="G87">
            <v>3.4</v>
          </cell>
          <cell r="H87">
            <v>3</v>
          </cell>
          <cell r="I87">
            <v>2.2999999999999998</v>
          </cell>
          <cell r="J87">
            <v>2</v>
          </cell>
          <cell r="K87">
            <v>1.8</v>
          </cell>
        </row>
        <row r="88">
          <cell r="A88">
            <v>1120232503</v>
          </cell>
          <cell r="B88" t="str">
            <v>王耀</v>
          </cell>
          <cell r="C88" t="str">
            <v>车辆工程</v>
          </cell>
          <cell r="D88" t="str">
            <v>精工2313</v>
          </cell>
          <cell r="E88">
            <v>7.65</v>
          </cell>
          <cell r="F88">
            <v>73</v>
          </cell>
          <cell r="G88">
            <v>0.4</v>
          </cell>
          <cell r="H88">
            <v>1.5</v>
          </cell>
          <cell r="I88">
            <v>2</v>
          </cell>
          <cell r="J88">
            <v>1.75</v>
          </cell>
          <cell r="K88">
            <v>2</v>
          </cell>
        </row>
        <row r="89">
          <cell r="A89">
            <v>1120232519</v>
          </cell>
          <cell r="B89" t="str">
            <v>徐潇怡</v>
          </cell>
          <cell r="C89" t="str">
            <v>车辆工程</v>
          </cell>
          <cell r="D89" t="str">
            <v>精工2310</v>
          </cell>
          <cell r="E89">
            <v>26.200000000000003</v>
          </cell>
          <cell r="F89">
            <v>28</v>
          </cell>
          <cell r="G89">
            <v>2.8</v>
          </cell>
          <cell r="H89">
            <v>0.4</v>
          </cell>
          <cell r="I89">
            <v>3.7</v>
          </cell>
          <cell r="J89">
            <v>6</v>
          </cell>
          <cell r="K89">
            <v>13.3</v>
          </cell>
        </row>
        <row r="90">
          <cell r="A90">
            <v>1120230996</v>
          </cell>
          <cell r="B90" t="str">
            <v>李煜纯</v>
          </cell>
          <cell r="C90" t="str">
            <v>车辆工程</v>
          </cell>
          <cell r="D90" t="str">
            <v>精工2310</v>
          </cell>
          <cell r="E90">
            <v>6.8000000000000007</v>
          </cell>
          <cell r="F90">
            <v>76</v>
          </cell>
          <cell r="G90">
            <v>1.5</v>
          </cell>
          <cell r="H90">
            <v>1.2</v>
          </cell>
          <cell r="I90">
            <v>1.2</v>
          </cell>
          <cell r="J90">
            <v>1.7</v>
          </cell>
          <cell r="K90">
            <v>1.2</v>
          </cell>
        </row>
        <row r="91">
          <cell r="A91">
            <v>1120232506</v>
          </cell>
          <cell r="B91" t="str">
            <v>代德睿</v>
          </cell>
          <cell r="C91" t="str">
            <v>车辆工程</v>
          </cell>
          <cell r="D91" t="str">
            <v>精工2313</v>
          </cell>
          <cell r="E91">
            <v>-0.5</v>
          </cell>
          <cell r="F91">
            <v>95</v>
          </cell>
          <cell r="G91">
            <v>0</v>
          </cell>
          <cell r="H91">
            <v>0</v>
          </cell>
          <cell r="I91">
            <v>0</v>
          </cell>
          <cell r="J91">
            <v>-0.5</v>
          </cell>
          <cell r="K91">
            <v>0</v>
          </cell>
        </row>
        <row r="92">
          <cell r="A92">
            <v>1120231009</v>
          </cell>
          <cell r="B92" t="str">
            <v>陈高中</v>
          </cell>
          <cell r="C92" t="str">
            <v>车辆工程</v>
          </cell>
          <cell r="D92" t="str">
            <v>精工2313</v>
          </cell>
          <cell r="E92">
            <v>8.2499999999999982</v>
          </cell>
          <cell r="F92">
            <v>71</v>
          </cell>
          <cell r="G92">
            <v>3.65</v>
          </cell>
          <cell r="H92">
            <v>2.2000000000000002</v>
          </cell>
          <cell r="I92">
            <v>2</v>
          </cell>
          <cell r="J92">
            <v>0.2</v>
          </cell>
          <cell r="K92">
            <v>0.2</v>
          </cell>
        </row>
        <row r="93">
          <cell r="A93">
            <v>1120232896</v>
          </cell>
          <cell r="B93" t="str">
            <v>左俊弈</v>
          </cell>
          <cell r="C93" t="str">
            <v>车辆工程</v>
          </cell>
          <cell r="D93" t="str">
            <v>精工2313</v>
          </cell>
          <cell r="E93">
            <v>2</v>
          </cell>
          <cell r="F93">
            <v>89</v>
          </cell>
          <cell r="G93">
            <v>1</v>
          </cell>
          <cell r="H93">
            <v>1</v>
          </cell>
          <cell r="I93">
            <v>0</v>
          </cell>
          <cell r="J93">
            <v>0</v>
          </cell>
          <cell r="K93">
            <v>0</v>
          </cell>
        </row>
        <row r="94">
          <cell r="A94">
            <v>1120231436</v>
          </cell>
          <cell r="B94" t="str">
            <v>王世堃</v>
          </cell>
          <cell r="C94" t="str">
            <v>车辆工程</v>
          </cell>
          <cell r="D94" t="str">
            <v>精工2312</v>
          </cell>
          <cell r="E94">
            <v>3.4</v>
          </cell>
          <cell r="F94">
            <v>85</v>
          </cell>
          <cell r="G94">
            <v>0</v>
          </cell>
          <cell r="H94">
            <v>0</v>
          </cell>
          <cell r="I94">
            <v>1.5</v>
          </cell>
          <cell r="J94">
            <v>1</v>
          </cell>
          <cell r="K94">
            <v>0.9</v>
          </cell>
        </row>
        <row r="95">
          <cell r="A95">
            <v>1120232205</v>
          </cell>
          <cell r="B95" t="str">
            <v>陈鹏宇</v>
          </cell>
          <cell r="C95" t="str">
            <v>车辆工程</v>
          </cell>
          <cell r="D95" t="str">
            <v>精工2310</v>
          </cell>
          <cell r="E95">
            <v>1.5</v>
          </cell>
          <cell r="F95">
            <v>90</v>
          </cell>
          <cell r="G95">
            <v>0.2</v>
          </cell>
          <cell r="H95">
            <v>0.2</v>
          </cell>
          <cell r="I95">
            <v>0.2</v>
          </cell>
          <cell r="J95">
            <v>0.7</v>
          </cell>
          <cell r="K95">
            <v>0.2</v>
          </cell>
        </row>
        <row r="96">
          <cell r="A96">
            <v>1120231003</v>
          </cell>
          <cell r="B96" t="str">
            <v>傅柏翰</v>
          </cell>
          <cell r="C96" t="str">
            <v>车辆工程</v>
          </cell>
          <cell r="D96" t="str">
            <v>精工2311</v>
          </cell>
          <cell r="E96">
            <v>5.6</v>
          </cell>
          <cell r="F96">
            <v>77</v>
          </cell>
          <cell r="G96">
            <v>0.3</v>
          </cell>
          <cell r="H96">
            <v>1</v>
          </cell>
          <cell r="I96">
            <v>2</v>
          </cell>
          <cell r="J96">
            <v>1.2</v>
          </cell>
          <cell r="K96">
            <v>1.1000000000000001</v>
          </cell>
        </row>
        <row r="97">
          <cell r="A97">
            <v>1120230829</v>
          </cell>
          <cell r="B97" t="str">
            <v>张亿楠</v>
          </cell>
          <cell r="C97" t="str">
            <v>车辆工程</v>
          </cell>
          <cell r="D97" t="str">
            <v>精工2312</v>
          </cell>
          <cell r="E97">
            <v>2.7</v>
          </cell>
          <cell r="F97">
            <v>86</v>
          </cell>
          <cell r="G97">
            <v>0</v>
          </cell>
          <cell r="H97">
            <v>-0.5</v>
          </cell>
          <cell r="I97">
            <v>1.6</v>
          </cell>
          <cell r="J97">
            <v>0.6</v>
          </cell>
          <cell r="K97">
            <v>1</v>
          </cell>
        </row>
        <row r="98">
          <cell r="A98">
            <v>1120230267</v>
          </cell>
          <cell r="B98" t="str">
            <v>王国伟</v>
          </cell>
          <cell r="C98" t="str">
            <v>工业工程</v>
          </cell>
          <cell r="D98" t="str">
            <v>精工2319</v>
          </cell>
          <cell r="E98">
            <v>52.8</v>
          </cell>
          <cell r="F98">
            <v>2</v>
          </cell>
          <cell r="G98">
            <v>2.2000000000000002</v>
          </cell>
          <cell r="H98">
            <v>9.1999999999999993</v>
          </cell>
          <cell r="I98">
            <v>12.4</v>
          </cell>
          <cell r="J98">
            <v>15.5</v>
          </cell>
          <cell r="K98">
            <v>13.5</v>
          </cell>
        </row>
        <row r="99">
          <cell r="A99">
            <v>1120232496</v>
          </cell>
          <cell r="B99" t="str">
            <v>王瑞林</v>
          </cell>
          <cell r="C99" t="str">
            <v>工业工程</v>
          </cell>
          <cell r="D99" t="str">
            <v>精工2319</v>
          </cell>
          <cell r="E99">
            <v>56.95</v>
          </cell>
          <cell r="F99">
            <v>1</v>
          </cell>
          <cell r="G99">
            <v>2.2000000000000002</v>
          </cell>
          <cell r="H99">
            <v>6.8</v>
          </cell>
          <cell r="I99">
            <v>14.1</v>
          </cell>
          <cell r="J99">
            <v>10.5</v>
          </cell>
          <cell r="K99">
            <v>23.35</v>
          </cell>
        </row>
        <row r="100">
          <cell r="A100">
            <v>1120231274</v>
          </cell>
          <cell r="B100" t="str">
            <v>王雨函</v>
          </cell>
          <cell r="C100" t="str">
            <v>工业工程</v>
          </cell>
          <cell r="D100" t="str">
            <v>精工2318</v>
          </cell>
          <cell r="E100">
            <v>14.9</v>
          </cell>
          <cell r="F100">
            <v>12</v>
          </cell>
          <cell r="G100">
            <v>1.8</v>
          </cell>
          <cell r="H100">
            <v>1</v>
          </cell>
          <cell r="I100">
            <v>4.3</v>
          </cell>
          <cell r="J100">
            <v>4.7</v>
          </cell>
          <cell r="K100">
            <v>3.1</v>
          </cell>
        </row>
        <row r="101">
          <cell r="A101">
            <v>1120232491</v>
          </cell>
          <cell r="B101" t="str">
            <v>邱爽</v>
          </cell>
          <cell r="C101" t="str">
            <v>工业工程</v>
          </cell>
          <cell r="D101" t="str">
            <v>精工2318</v>
          </cell>
          <cell r="E101">
            <v>15.2</v>
          </cell>
          <cell r="F101">
            <v>11</v>
          </cell>
          <cell r="G101">
            <v>0.2</v>
          </cell>
          <cell r="H101">
            <v>1.5</v>
          </cell>
          <cell r="I101">
            <v>2.2999999999999998</v>
          </cell>
          <cell r="J101">
            <v>3.5</v>
          </cell>
          <cell r="K101">
            <v>7.7</v>
          </cell>
        </row>
        <row r="102">
          <cell r="A102">
            <v>1120231266</v>
          </cell>
          <cell r="B102" t="str">
            <v>周小晶</v>
          </cell>
          <cell r="C102" t="str">
            <v>工业工程</v>
          </cell>
          <cell r="D102" t="str">
            <v>精工2319</v>
          </cell>
          <cell r="E102">
            <v>8.16</v>
          </cell>
          <cell r="F102">
            <v>18</v>
          </cell>
          <cell r="G102">
            <v>0.56000000000000005</v>
          </cell>
          <cell r="H102">
            <v>0.3</v>
          </cell>
          <cell r="I102">
            <v>1</v>
          </cell>
          <cell r="J102">
            <v>1.3</v>
          </cell>
          <cell r="K102">
            <v>5</v>
          </cell>
        </row>
        <row r="103">
          <cell r="A103">
            <v>1120231446</v>
          </cell>
          <cell r="B103" t="str">
            <v>刘繁冶</v>
          </cell>
          <cell r="C103" t="str">
            <v>工业工程</v>
          </cell>
          <cell r="D103" t="str">
            <v>精工2319</v>
          </cell>
          <cell r="E103">
            <v>22.1</v>
          </cell>
          <cell r="F103">
            <v>9</v>
          </cell>
          <cell r="G103">
            <v>3.5</v>
          </cell>
          <cell r="H103">
            <v>3.5</v>
          </cell>
          <cell r="I103">
            <v>3.6</v>
          </cell>
          <cell r="J103">
            <v>3.2</v>
          </cell>
          <cell r="K103">
            <v>8.3000000000000007</v>
          </cell>
        </row>
        <row r="104">
          <cell r="A104">
            <v>1120231653</v>
          </cell>
          <cell r="B104" t="str">
            <v>李金霖</v>
          </cell>
          <cell r="C104" t="str">
            <v>工业工程</v>
          </cell>
          <cell r="D104" t="str">
            <v>精工2319</v>
          </cell>
          <cell r="E104">
            <v>46.75</v>
          </cell>
          <cell r="F104">
            <v>4</v>
          </cell>
          <cell r="G104">
            <v>2.35</v>
          </cell>
          <cell r="H104">
            <v>3</v>
          </cell>
          <cell r="I104">
            <v>10</v>
          </cell>
          <cell r="J104">
            <v>16</v>
          </cell>
          <cell r="K104">
            <v>15.4</v>
          </cell>
        </row>
        <row r="105">
          <cell r="A105">
            <v>1120232492</v>
          </cell>
          <cell r="B105" t="str">
            <v>雷濠远</v>
          </cell>
          <cell r="C105" t="str">
            <v>工业工程</v>
          </cell>
          <cell r="D105" t="str">
            <v>精工2318</v>
          </cell>
          <cell r="E105">
            <v>49.900000000000006</v>
          </cell>
          <cell r="F105">
            <v>3</v>
          </cell>
          <cell r="G105">
            <v>4.4000000000000004</v>
          </cell>
          <cell r="H105">
            <v>5.9</v>
          </cell>
          <cell r="I105">
            <v>14.5</v>
          </cell>
          <cell r="J105">
            <v>14.9</v>
          </cell>
          <cell r="K105">
            <v>10.199999999999999</v>
          </cell>
        </row>
        <row r="106">
          <cell r="A106">
            <v>1120231447</v>
          </cell>
          <cell r="B106" t="str">
            <v>唐瑞晗</v>
          </cell>
          <cell r="C106" t="str">
            <v>工业工程</v>
          </cell>
          <cell r="D106" t="str">
            <v>精工2318</v>
          </cell>
          <cell r="E106">
            <v>29.98</v>
          </cell>
          <cell r="F106">
            <v>7</v>
          </cell>
          <cell r="G106">
            <v>1.9</v>
          </cell>
          <cell r="H106">
            <v>2.7</v>
          </cell>
          <cell r="I106">
            <v>7.5</v>
          </cell>
          <cell r="J106">
            <v>7.18</v>
          </cell>
          <cell r="K106">
            <v>10.7</v>
          </cell>
        </row>
        <row r="107">
          <cell r="A107">
            <v>1120231420</v>
          </cell>
          <cell r="B107" t="str">
            <v>张家溢</v>
          </cell>
          <cell r="C107" t="str">
            <v>工业工程</v>
          </cell>
          <cell r="D107" t="str">
            <v>精工2318</v>
          </cell>
          <cell r="E107">
            <v>41.8</v>
          </cell>
          <cell r="F107">
            <v>5</v>
          </cell>
          <cell r="G107">
            <v>5.4</v>
          </cell>
          <cell r="H107">
            <v>5.8</v>
          </cell>
          <cell r="I107">
            <v>8.1</v>
          </cell>
          <cell r="J107">
            <v>9</v>
          </cell>
          <cell r="K107">
            <v>13.5</v>
          </cell>
        </row>
        <row r="108">
          <cell r="A108">
            <v>1120231317</v>
          </cell>
          <cell r="B108" t="str">
            <v>陈彦元</v>
          </cell>
          <cell r="C108" t="str">
            <v>工业工程</v>
          </cell>
          <cell r="D108" t="str">
            <v>精工2318</v>
          </cell>
          <cell r="E108">
            <v>30.04</v>
          </cell>
          <cell r="F108">
            <v>6</v>
          </cell>
          <cell r="G108">
            <v>6.5</v>
          </cell>
          <cell r="H108">
            <v>5.74</v>
          </cell>
          <cell r="I108">
            <v>6.3</v>
          </cell>
          <cell r="J108">
            <v>5.3</v>
          </cell>
          <cell r="K108">
            <v>6.2</v>
          </cell>
        </row>
        <row r="109">
          <cell r="A109">
            <v>1120233369</v>
          </cell>
          <cell r="B109" t="str">
            <v>吴天宇</v>
          </cell>
          <cell r="C109" t="str">
            <v>工业工程</v>
          </cell>
          <cell r="D109" t="str">
            <v>精工2318</v>
          </cell>
          <cell r="E109">
            <v>9.8000000000000007</v>
          </cell>
          <cell r="F109">
            <v>17</v>
          </cell>
          <cell r="G109">
            <v>0.8</v>
          </cell>
          <cell r="H109">
            <v>0.55000000000000004</v>
          </cell>
          <cell r="I109">
            <v>0.9</v>
          </cell>
          <cell r="J109">
            <v>0.95</v>
          </cell>
          <cell r="K109">
            <v>6.6</v>
          </cell>
        </row>
        <row r="110">
          <cell r="A110">
            <v>1120233024</v>
          </cell>
          <cell r="B110" t="str">
            <v>张明月</v>
          </cell>
          <cell r="C110" t="str">
            <v>工业工程</v>
          </cell>
          <cell r="D110" t="str">
            <v>精工2318</v>
          </cell>
          <cell r="E110">
            <v>11.15</v>
          </cell>
          <cell r="F110">
            <v>13</v>
          </cell>
          <cell r="G110">
            <v>0.35</v>
          </cell>
          <cell r="H110">
            <v>1.8</v>
          </cell>
          <cell r="I110">
            <v>3</v>
          </cell>
          <cell r="J110">
            <v>3</v>
          </cell>
          <cell r="K110">
            <v>3</v>
          </cell>
        </row>
        <row r="111">
          <cell r="A111">
            <v>1120232209</v>
          </cell>
          <cell r="B111" t="str">
            <v>张美鑫</v>
          </cell>
          <cell r="C111" t="str">
            <v>工业工程</v>
          </cell>
          <cell r="D111" t="str">
            <v>精工2319</v>
          </cell>
          <cell r="E111">
            <v>27.400000000000002</v>
          </cell>
          <cell r="F111">
            <v>8</v>
          </cell>
          <cell r="G111">
            <v>2.4</v>
          </cell>
          <cell r="H111">
            <v>4.4000000000000004</v>
          </cell>
          <cell r="I111">
            <v>6.3</v>
          </cell>
          <cell r="J111">
            <v>7.8</v>
          </cell>
          <cell r="K111">
            <v>6.5</v>
          </cell>
        </row>
        <row r="112">
          <cell r="A112">
            <v>1120232288</v>
          </cell>
          <cell r="B112" t="str">
            <v>刘劲菘</v>
          </cell>
          <cell r="C112" t="str">
            <v>工业工程</v>
          </cell>
          <cell r="D112" t="str">
            <v>精工2319</v>
          </cell>
          <cell r="E112">
            <v>4.75</v>
          </cell>
          <cell r="F112">
            <v>21</v>
          </cell>
          <cell r="G112">
            <v>0</v>
          </cell>
          <cell r="H112">
            <v>0.3</v>
          </cell>
          <cell r="I112">
            <v>1.9</v>
          </cell>
          <cell r="J112">
            <v>1.1499999999999999</v>
          </cell>
          <cell r="K112">
            <v>1.4</v>
          </cell>
        </row>
        <row r="113">
          <cell r="A113">
            <v>1120231018</v>
          </cell>
          <cell r="B113" t="str">
            <v>袁威</v>
          </cell>
          <cell r="C113" t="str">
            <v>工业工程</v>
          </cell>
          <cell r="D113" t="str">
            <v>精工2319</v>
          </cell>
          <cell r="E113">
            <v>4.75</v>
          </cell>
          <cell r="F113">
            <v>21</v>
          </cell>
          <cell r="G113">
            <v>0</v>
          </cell>
          <cell r="H113">
            <v>1.75</v>
          </cell>
          <cell r="I113">
            <v>1</v>
          </cell>
          <cell r="J113">
            <v>1</v>
          </cell>
          <cell r="K113">
            <v>1</v>
          </cell>
        </row>
        <row r="114">
          <cell r="A114">
            <v>1120231418</v>
          </cell>
          <cell r="B114" t="str">
            <v>李鹏</v>
          </cell>
          <cell r="C114" t="str">
            <v>工业工程</v>
          </cell>
          <cell r="D114" t="str">
            <v>精工2319</v>
          </cell>
          <cell r="E114">
            <v>10.4</v>
          </cell>
          <cell r="F114">
            <v>15</v>
          </cell>
          <cell r="G114">
            <v>3.9</v>
          </cell>
          <cell r="H114">
            <v>5.0999999999999996</v>
          </cell>
          <cell r="I114">
            <v>0</v>
          </cell>
          <cell r="J114">
            <v>1.4</v>
          </cell>
          <cell r="K114">
            <v>0</v>
          </cell>
        </row>
        <row r="115">
          <cell r="A115">
            <v>1120231282</v>
          </cell>
          <cell r="B115" t="str">
            <v>刘顺钦</v>
          </cell>
          <cell r="C115" t="str">
            <v>工业工程</v>
          </cell>
          <cell r="D115" t="str">
            <v>精工2318</v>
          </cell>
          <cell r="E115">
            <v>-0.5</v>
          </cell>
          <cell r="F115">
            <v>24</v>
          </cell>
          <cell r="G115">
            <v>0</v>
          </cell>
          <cell r="H115">
            <v>-0.5</v>
          </cell>
          <cell r="I115">
            <v>0</v>
          </cell>
          <cell r="J115">
            <v>0</v>
          </cell>
          <cell r="K115">
            <v>0</v>
          </cell>
        </row>
        <row r="116">
          <cell r="A116">
            <v>1120234021</v>
          </cell>
          <cell r="B116" t="str">
            <v>鄭凱文</v>
          </cell>
          <cell r="C116" t="str">
            <v>工业工程</v>
          </cell>
          <cell r="D116" t="str">
            <v>精工2319</v>
          </cell>
          <cell r="E116">
            <v>16.400000000000002</v>
          </cell>
          <cell r="F116">
            <v>10</v>
          </cell>
          <cell r="G116">
            <v>3.5</v>
          </cell>
          <cell r="H116">
            <v>2.8</v>
          </cell>
          <cell r="I116">
            <v>3.5</v>
          </cell>
          <cell r="J116">
            <v>4.8</v>
          </cell>
          <cell r="K116">
            <v>1.8</v>
          </cell>
        </row>
        <row r="117">
          <cell r="A117">
            <v>1120232212</v>
          </cell>
          <cell r="B117" t="str">
            <v>严远昱</v>
          </cell>
          <cell r="C117" t="str">
            <v>工业工程</v>
          </cell>
          <cell r="D117" t="str">
            <v>精工2318</v>
          </cell>
          <cell r="E117">
            <v>-1.7</v>
          </cell>
          <cell r="F117">
            <v>25</v>
          </cell>
          <cell r="G117">
            <v>0.3</v>
          </cell>
          <cell r="H117">
            <v>-0.5</v>
          </cell>
          <cell r="I117">
            <v>0</v>
          </cell>
          <cell r="J117">
            <v>-1.5</v>
          </cell>
          <cell r="K117">
            <v>0</v>
          </cell>
        </row>
        <row r="118">
          <cell r="A118">
            <v>1120231013</v>
          </cell>
          <cell r="B118" t="str">
            <v>舒妍妍</v>
          </cell>
          <cell r="C118" t="str">
            <v>工业工程</v>
          </cell>
          <cell r="D118" t="str">
            <v>精工2318</v>
          </cell>
          <cell r="E118">
            <v>4.875</v>
          </cell>
          <cell r="F118">
            <v>20</v>
          </cell>
          <cell r="G118">
            <v>0.5</v>
          </cell>
          <cell r="H118">
            <v>-0.17499999999999999</v>
          </cell>
          <cell r="I118">
            <v>0.55000000000000004</v>
          </cell>
          <cell r="J118">
            <v>4</v>
          </cell>
          <cell r="K118">
            <v>0</v>
          </cell>
        </row>
        <row r="119">
          <cell r="A119">
            <v>1120232754</v>
          </cell>
          <cell r="B119" t="str">
            <v>罗勋康</v>
          </cell>
          <cell r="C119" t="str">
            <v>工业工程</v>
          </cell>
          <cell r="D119" t="str">
            <v>精工2318</v>
          </cell>
          <cell r="E119">
            <v>5.35</v>
          </cell>
          <cell r="F119">
            <v>19</v>
          </cell>
          <cell r="G119">
            <v>0</v>
          </cell>
          <cell r="H119">
            <v>3.65</v>
          </cell>
          <cell r="I119">
            <v>0</v>
          </cell>
          <cell r="J119">
            <v>-0.5</v>
          </cell>
          <cell r="K119">
            <v>2.2000000000000002</v>
          </cell>
        </row>
        <row r="120">
          <cell r="A120">
            <v>1120231434</v>
          </cell>
          <cell r="B120" t="str">
            <v>谢佳铭</v>
          </cell>
          <cell r="C120" t="str">
            <v>工业工程</v>
          </cell>
          <cell r="D120" t="str">
            <v>精工2319</v>
          </cell>
          <cell r="E120">
            <v>10.8</v>
          </cell>
          <cell r="F120">
            <v>14</v>
          </cell>
          <cell r="G120">
            <v>1</v>
          </cell>
          <cell r="H120">
            <v>1.3</v>
          </cell>
          <cell r="I120">
            <v>3</v>
          </cell>
          <cell r="J120">
            <v>2</v>
          </cell>
          <cell r="K120">
            <v>3.5</v>
          </cell>
        </row>
        <row r="121">
          <cell r="A121">
            <v>1120234031</v>
          </cell>
          <cell r="B121" t="str">
            <v>郭佳</v>
          </cell>
          <cell r="C121" t="str">
            <v>工业工程</v>
          </cell>
          <cell r="D121" t="str">
            <v>精工2318</v>
          </cell>
          <cell r="E121">
            <v>10.100000000000001</v>
          </cell>
          <cell r="F121">
            <v>16</v>
          </cell>
          <cell r="G121">
            <v>2.7</v>
          </cell>
          <cell r="H121">
            <v>2.5</v>
          </cell>
          <cell r="I121">
            <v>1.7</v>
          </cell>
          <cell r="J121">
            <v>2.2000000000000002</v>
          </cell>
          <cell r="K121">
            <v>1</v>
          </cell>
        </row>
        <row r="122">
          <cell r="A122">
            <v>1120230740</v>
          </cell>
          <cell r="B122" t="str">
            <v>张佳昊</v>
          </cell>
          <cell r="C122" t="str">
            <v>工业工程</v>
          </cell>
          <cell r="D122" t="str">
            <v>精工2319</v>
          </cell>
          <cell r="E122">
            <v>3.7</v>
          </cell>
          <cell r="F122">
            <v>23</v>
          </cell>
          <cell r="G122">
            <v>0.9</v>
          </cell>
          <cell r="H122">
            <v>1.4</v>
          </cell>
          <cell r="I122">
            <v>0.2</v>
          </cell>
          <cell r="J122">
            <v>0.2</v>
          </cell>
          <cell r="K122">
            <v>1</v>
          </cell>
        </row>
        <row r="123">
          <cell r="A123">
            <v>1120230742</v>
          </cell>
          <cell r="B123" t="str">
            <v>洪小雨</v>
          </cell>
          <cell r="C123" t="str">
            <v>机械工程</v>
          </cell>
          <cell r="D123" t="str">
            <v>精工2316</v>
          </cell>
          <cell r="E123">
            <v>50.599999999999994</v>
          </cell>
          <cell r="F123">
            <v>4</v>
          </cell>
          <cell r="G123">
            <v>5</v>
          </cell>
          <cell r="H123">
            <v>5.7</v>
          </cell>
          <cell r="I123">
            <v>7.5</v>
          </cell>
          <cell r="J123">
            <v>14.1</v>
          </cell>
          <cell r="K123">
            <v>18.3</v>
          </cell>
        </row>
        <row r="124">
          <cell r="A124">
            <v>1120232901</v>
          </cell>
          <cell r="B124" t="str">
            <v>林子扬</v>
          </cell>
          <cell r="C124" t="str">
            <v>机械工程</v>
          </cell>
          <cell r="D124" t="str">
            <v>精工2314</v>
          </cell>
          <cell r="E124">
            <v>32.049999999999997</v>
          </cell>
          <cell r="F124">
            <v>14</v>
          </cell>
          <cell r="G124">
            <v>2.15</v>
          </cell>
          <cell r="H124">
            <v>4.7</v>
          </cell>
          <cell r="I124">
            <v>10.3</v>
          </cell>
          <cell r="J124">
            <v>4.5</v>
          </cell>
          <cell r="K124">
            <v>10.4</v>
          </cell>
        </row>
        <row r="125">
          <cell r="A125">
            <v>1120231263</v>
          </cell>
          <cell r="B125" t="str">
            <v>唐邱扬</v>
          </cell>
          <cell r="C125" t="str">
            <v>机械工程</v>
          </cell>
          <cell r="D125" t="str">
            <v>精工2317</v>
          </cell>
          <cell r="E125">
            <v>73.139999999999986</v>
          </cell>
          <cell r="F125">
            <v>3</v>
          </cell>
          <cell r="G125">
            <v>4.7</v>
          </cell>
          <cell r="H125">
            <v>5.54</v>
          </cell>
          <cell r="I125">
            <v>17.8</v>
          </cell>
          <cell r="J125">
            <v>20.2</v>
          </cell>
          <cell r="K125">
            <v>24.9</v>
          </cell>
        </row>
        <row r="126">
          <cell r="A126">
            <v>1120232488</v>
          </cell>
          <cell r="B126" t="str">
            <v>侯云翔</v>
          </cell>
          <cell r="C126" t="str">
            <v>机械工程</v>
          </cell>
          <cell r="D126" t="str">
            <v>精工2316</v>
          </cell>
          <cell r="E126">
            <v>77.7</v>
          </cell>
          <cell r="F126">
            <v>2</v>
          </cell>
          <cell r="G126">
            <v>5.8</v>
          </cell>
          <cell r="H126">
            <v>10.199999999999999</v>
          </cell>
          <cell r="I126">
            <v>18.399999999999999</v>
          </cell>
          <cell r="J126">
            <v>16.8</v>
          </cell>
          <cell r="K126">
            <v>26.5</v>
          </cell>
        </row>
        <row r="127">
          <cell r="A127">
            <v>1120233384</v>
          </cell>
          <cell r="B127" t="str">
            <v>李宏博</v>
          </cell>
          <cell r="C127" t="str">
            <v>机械工程</v>
          </cell>
          <cell r="D127" t="str">
            <v>精工2315</v>
          </cell>
          <cell r="E127">
            <v>31.8</v>
          </cell>
          <cell r="F127">
            <v>16</v>
          </cell>
          <cell r="G127">
            <v>2.8</v>
          </cell>
          <cell r="H127">
            <v>4.2</v>
          </cell>
          <cell r="I127">
            <v>3.7</v>
          </cell>
          <cell r="J127">
            <v>9.8000000000000007</v>
          </cell>
          <cell r="K127">
            <v>11.3</v>
          </cell>
        </row>
        <row r="128">
          <cell r="A128">
            <v>1120232618</v>
          </cell>
          <cell r="B128" t="str">
            <v>刘铁彦</v>
          </cell>
          <cell r="C128" t="str">
            <v>机械工程</v>
          </cell>
          <cell r="D128" t="str">
            <v>精工2317</v>
          </cell>
          <cell r="E128">
            <v>84.85</v>
          </cell>
          <cell r="F128">
            <v>1</v>
          </cell>
          <cell r="G128">
            <v>8.6</v>
          </cell>
          <cell r="H128">
            <v>7.6</v>
          </cell>
          <cell r="I128">
            <v>31.9</v>
          </cell>
          <cell r="J128">
            <v>14.7</v>
          </cell>
          <cell r="K128">
            <v>22.05</v>
          </cell>
        </row>
        <row r="129">
          <cell r="A129">
            <v>1120231847</v>
          </cell>
          <cell r="B129" t="str">
            <v>肖凯天</v>
          </cell>
          <cell r="C129" t="str">
            <v>机械工程</v>
          </cell>
          <cell r="D129" t="str">
            <v>精工2314</v>
          </cell>
          <cell r="E129">
            <v>38.5</v>
          </cell>
          <cell r="F129">
            <v>7</v>
          </cell>
          <cell r="G129">
            <v>2.7</v>
          </cell>
          <cell r="H129">
            <v>6.2</v>
          </cell>
          <cell r="I129">
            <v>9.8000000000000007</v>
          </cell>
          <cell r="J129">
            <v>6.2</v>
          </cell>
          <cell r="K129">
            <v>13.6</v>
          </cell>
        </row>
        <row r="130">
          <cell r="A130">
            <v>1120231430</v>
          </cell>
          <cell r="B130" t="str">
            <v>朱海</v>
          </cell>
          <cell r="C130" t="str">
            <v>机械工程</v>
          </cell>
          <cell r="D130" t="str">
            <v>精工2316</v>
          </cell>
          <cell r="E130">
            <v>37.400000000000006</v>
          </cell>
          <cell r="F130">
            <v>8</v>
          </cell>
          <cell r="G130">
            <v>5.5</v>
          </cell>
          <cell r="H130">
            <v>8.6999999999999993</v>
          </cell>
          <cell r="I130">
            <v>3.5</v>
          </cell>
          <cell r="J130">
            <v>7.4</v>
          </cell>
          <cell r="K130">
            <v>12.3</v>
          </cell>
        </row>
        <row r="131">
          <cell r="A131">
            <v>1120231772</v>
          </cell>
          <cell r="B131" t="str">
            <v>贾智翔</v>
          </cell>
          <cell r="C131" t="str">
            <v>机械工程</v>
          </cell>
          <cell r="D131" t="str">
            <v>精工2315</v>
          </cell>
          <cell r="E131">
            <v>29.4</v>
          </cell>
          <cell r="F131">
            <v>21</v>
          </cell>
          <cell r="G131">
            <v>0.9</v>
          </cell>
          <cell r="H131">
            <v>6.7</v>
          </cell>
          <cell r="I131">
            <v>5.8</v>
          </cell>
          <cell r="J131">
            <v>3.5</v>
          </cell>
          <cell r="K131">
            <v>12.5</v>
          </cell>
        </row>
        <row r="132">
          <cell r="A132">
            <v>1120232208</v>
          </cell>
          <cell r="B132" t="str">
            <v>杜倩荣</v>
          </cell>
          <cell r="C132" t="str">
            <v>机械工程</v>
          </cell>
          <cell r="D132" t="str">
            <v>精工2314</v>
          </cell>
          <cell r="E132">
            <v>41.4</v>
          </cell>
          <cell r="F132">
            <v>6</v>
          </cell>
          <cell r="G132">
            <v>4.5</v>
          </cell>
          <cell r="H132">
            <v>4.5</v>
          </cell>
          <cell r="I132">
            <v>13.7</v>
          </cell>
          <cell r="J132">
            <v>7.7</v>
          </cell>
          <cell r="K132">
            <v>11</v>
          </cell>
        </row>
        <row r="133">
          <cell r="A133">
            <v>1120231444</v>
          </cell>
          <cell r="B133" t="str">
            <v>谷沐禹</v>
          </cell>
          <cell r="C133" t="str">
            <v>机械工程</v>
          </cell>
          <cell r="D133" t="str">
            <v>精工2315</v>
          </cell>
          <cell r="E133">
            <v>22.3</v>
          </cell>
          <cell r="F133">
            <v>30</v>
          </cell>
          <cell r="G133">
            <v>0.4</v>
          </cell>
          <cell r="H133">
            <v>1.5</v>
          </cell>
          <cell r="I133">
            <v>2.6</v>
          </cell>
          <cell r="J133">
            <v>5.4</v>
          </cell>
          <cell r="K133">
            <v>12.4</v>
          </cell>
        </row>
        <row r="134">
          <cell r="A134">
            <v>1120232887</v>
          </cell>
          <cell r="B134" t="str">
            <v>唐明旭</v>
          </cell>
          <cell r="C134" t="str">
            <v>机械工程</v>
          </cell>
          <cell r="D134" t="str">
            <v>精工2315</v>
          </cell>
          <cell r="E134">
            <v>19.675000000000001</v>
          </cell>
          <cell r="F134">
            <v>36</v>
          </cell>
          <cell r="G134">
            <v>1</v>
          </cell>
          <cell r="H134">
            <v>1.5</v>
          </cell>
          <cell r="I134">
            <v>2.8250000000000002</v>
          </cell>
          <cell r="J134">
            <v>5.8</v>
          </cell>
          <cell r="K134">
            <v>8.5500000000000007</v>
          </cell>
        </row>
        <row r="135">
          <cell r="A135">
            <v>1120231008</v>
          </cell>
          <cell r="B135" t="str">
            <v>段练</v>
          </cell>
          <cell r="C135" t="str">
            <v>机械工程</v>
          </cell>
          <cell r="D135" t="str">
            <v>精工2315</v>
          </cell>
          <cell r="E135">
            <v>36.849999999999994</v>
          </cell>
          <cell r="F135">
            <v>9</v>
          </cell>
          <cell r="G135">
            <v>4.1500000000000004</v>
          </cell>
          <cell r="H135">
            <v>9</v>
          </cell>
          <cell r="I135">
            <v>6</v>
          </cell>
          <cell r="J135">
            <v>4.2</v>
          </cell>
          <cell r="K135">
            <v>13.5</v>
          </cell>
        </row>
        <row r="136">
          <cell r="A136">
            <v>1120231401</v>
          </cell>
          <cell r="B136" t="str">
            <v>崔庆瞻</v>
          </cell>
          <cell r="C136" t="str">
            <v>机械工程</v>
          </cell>
          <cell r="D136" t="str">
            <v>精工2316</v>
          </cell>
          <cell r="E136">
            <v>30.14</v>
          </cell>
          <cell r="F136">
            <v>17</v>
          </cell>
          <cell r="G136">
            <v>1.7</v>
          </cell>
          <cell r="H136">
            <v>2.94</v>
          </cell>
          <cell r="I136">
            <v>9</v>
          </cell>
          <cell r="J136">
            <v>5.5</v>
          </cell>
          <cell r="K136">
            <v>11</v>
          </cell>
        </row>
        <row r="137">
          <cell r="A137">
            <v>1120231023</v>
          </cell>
          <cell r="B137" t="str">
            <v>杨禹皓</v>
          </cell>
          <cell r="C137" t="str">
            <v>机械工程</v>
          </cell>
          <cell r="D137" t="str">
            <v>精工2315</v>
          </cell>
          <cell r="E137">
            <v>22.5</v>
          </cell>
          <cell r="F137">
            <v>29</v>
          </cell>
          <cell r="G137">
            <v>2.5</v>
          </cell>
          <cell r="H137">
            <v>4.3</v>
          </cell>
          <cell r="I137">
            <v>4.4000000000000004</v>
          </cell>
          <cell r="J137">
            <v>4</v>
          </cell>
          <cell r="K137">
            <v>7.3</v>
          </cell>
        </row>
        <row r="138">
          <cell r="A138">
            <v>1120230335</v>
          </cell>
          <cell r="B138" t="str">
            <v>肖文博</v>
          </cell>
          <cell r="C138" t="str">
            <v>机械工程</v>
          </cell>
          <cell r="D138" t="str">
            <v>精工2314</v>
          </cell>
          <cell r="E138">
            <v>20.9</v>
          </cell>
          <cell r="F138">
            <v>35</v>
          </cell>
          <cell r="G138">
            <v>2</v>
          </cell>
          <cell r="H138">
            <v>3.2</v>
          </cell>
          <cell r="I138">
            <v>4.8</v>
          </cell>
          <cell r="J138">
            <v>8</v>
          </cell>
          <cell r="K138">
            <v>2.9</v>
          </cell>
        </row>
        <row r="139">
          <cell r="A139">
            <v>1120230324</v>
          </cell>
          <cell r="B139" t="str">
            <v>刘俊雄</v>
          </cell>
          <cell r="C139" t="str">
            <v>机械工程</v>
          </cell>
          <cell r="D139" t="str">
            <v>精工2317</v>
          </cell>
          <cell r="E139">
            <v>26.5</v>
          </cell>
          <cell r="F139">
            <v>24</v>
          </cell>
          <cell r="G139">
            <v>2</v>
          </cell>
          <cell r="H139">
            <v>4.9000000000000004</v>
          </cell>
          <cell r="I139">
            <v>3.3</v>
          </cell>
          <cell r="J139">
            <v>9.9</v>
          </cell>
          <cell r="K139">
            <v>6.4</v>
          </cell>
        </row>
        <row r="140">
          <cell r="A140">
            <v>1120233001</v>
          </cell>
          <cell r="B140" t="str">
            <v>李夏雨</v>
          </cell>
          <cell r="C140" t="str">
            <v>机械工程</v>
          </cell>
          <cell r="D140" t="str">
            <v>精工2317</v>
          </cell>
          <cell r="E140">
            <v>33.44</v>
          </cell>
          <cell r="F140">
            <v>12</v>
          </cell>
          <cell r="G140">
            <v>3.2</v>
          </cell>
          <cell r="H140">
            <v>2.2000000000000002</v>
          </cell>
          <cell r="I140">
            <v>7</v>
          </cell>
          <cell r="J140">
            <v>10.7</v>
          </cell>
          <cell r="K140">
            <v>10.34</v>
          </cell>
        </row>
        <row r="141">
          <cell r="A141">
            <v>1120230374</v>
          </cell>
          <cell r="B141" t="str">
            <v>韦颉</v>
          </cell>
          <cell r="C141" t="str">
            <v>机械工程</v>
          </cell>
          <cell r="D141" t="str">
            <v>精工2316</v>
          </cell>
          <cell r="E141">
            <v>31.9</v>
          </cell>
          <cell r="F141">
            <v>15</v>
          </cell>
          <cell r="G141">
            <v>1.9</v>
          </cell>
          <cell r="H141">
            <v>1</v>
          </cell>
          <cell r="I141">
            <v>7.3</v>
          </cell>
          <cell r="J141">
            <v>5.3</v>
          </cell>
          <cell r="K141">
            <v>16.399999999999999</v>
          </cell>
        </row>
        <row r="142">
          <cell r="A142">
            <v>1120232611</v>
          </cell>
          <cell r="B142" t="str">
            <v>邹元杰</v>
          </cell>
          <cell r="C142" t="str">
            <v>机械工程</v>
          </cell>
          <cell r="D142" t="str">
            <v>精工2316</v>
          </cell>
          <cell r="E142">
            <v>23.599999999999998</v>
          </cell>
          <cell r="F142">
            <v>27</v>
          </cell>
          <cell r="G142">
            <v>0.2</v>
          </cell>
          <cell r="H142">
            <v>0.95</v>
          </cell>
          <cell r="I142">
            <v>10</v>
          </cell>
          <cell r="J142">
            <v>6.75</v>
          </cell>
          <cell r="K142">
            <v>5.7</v>
          </cell>
        </row>
        <row r="143">
          <cell r="A143">
            <v>1120231007</v>
          </cell>
          <cell r="B143" t="str">
            <v>熊世宸</v>
          </cell>
          <cell r="C143" t="str">
            <v>机械工程</v>
          </cell>
          <cell r="D143" t="str">
            <v>精工2314</v>
          </cell>
          <cell r="E143">
            <v>18.05</v>
          </cell>
          <cell r="F143">
            <v>39</v>
          </cell>
          <cell r="G143">
            <v>2.75</v>
          </cell>
          <cell r="H143">
            <v>3.15</v>
          </cell>
          <cell r="I143">
            <v>5.2</v>
          </cell>
          <cell r="J143">
            <v>1.7</v>
          </cell>
          <cell r="K143">
            <v>5.25</v>
          </cell>
        </row>
        <row r="144">
          <cell r="A144">
            <v>1120230990</v>
          </cell>
          <cell r="B144" t="str">
            <v>李在天</v>
          </cell>
          <cell r="C144" t="str">
            <v>机械工程</v>
          </cell>
          <cell r="D144" t="str">
            <v>精工2317</v>
          </cell>
          <cell r="E144">
            <v>18.5</v>
          </cell>
          <cell r="F144">
            <v>37</v>
          </cell>
          <cell r="G144">
            <v>3.6</v>
          </cell>
          <cell r="H144">
            <v>1.5</v>
          </cell>
          <cell r="I144">
            <v>2</v>
          </cell>
          <cell r="J144">
            <v>4.5999999999999996</v>
          </cell>
          <cell r="K144">
            <v>6.8</v>
          </cell>
        </row>
        <row r="145">
          <cell r="A145">
            <v>1120231265</v>
          </cell>
          <cell r="B145" t="str">
            <v>杨子萱</v>
          </cell>
          <cell r="C145" t="str">
            <v>机械工程</v>
          </cell>
          <cell r="D145" t="str">
            <v>精工2317</v>
          </cell>
          <cell r="E145">
            <v>29.6</v>
          </cell>
          <cell r="F145">
            <v>20</v>
          </cell>
          <cell r="G145">
            <v>2.2999999999999998</v>
          </cell>
          <cell r="H145">
            <v>4.2</v>
          </cell>
          <cell r="I145">
            <v>7.7</v>
          </cell>
          <cell r="J145">
            <v>6.5</v>
          </cell>
          <cell r="K145">
            <v>8.9</v>
          </cell>
        </row>
        <row r="146">
          <cell r="A146">
            <v>1120231281</v>
          </cell>
          <cell r="B146" t="str">
            <v>韦迎新</v>
          </cell>
          <cell r="C146" t="str">
            <v>机械工程</v>
          </cell>
          <cell r="D146" t="str">
            <v>精工2314</v>
          </cell>
          <cell r="E146">
            <v>33.700000000000003</v>
          </cell>
          <cell r="F146">
            <v>11</v>
          </cell>
          <cell r="G146">
            <v>1.5</v>
          </cell>
          <cell r="H146">
            <v>2</v>
          </cell>
          <cell r="I146">
            <v>4</v>
          </cell>
          <cell r="J146">
            <v>9</v>
          </cell>
          <cell r="K146">
            <v>17.2</v>
          </cell>
        </row>
        <row r="147">
          <cell r="A147">
            <v>1120231262</v>
          </cell>
          <cell r="B147" t="str">
            <v>夏琪淇</v>
          </cell>
          <cell r="C147" t="str">
            <v>机械工程</v>
          </cell>
          <cell r="D147" t="str">
            <v>精工2314</v>
          </cell>
          <cell r="E147">
            <v>42.4</v>
          </cell>
          <cell r="F147">
            <v>5</v>
          </cell>
          <cell r="G147">
            <v>5.3</v>
          </cell>
          <cell r="H147">
            <v>5.4</v>
          </cell>
          <cell r="I147">
            <v>10.1</v>
          </cell>
          <cell r="J147">
            <v>8.6999999999999993</v>
          </cell>
          <cell r="K147">
            <v>12.9</v>
          </cell>
        </row>
        <row r="148">
          <cell r="A148">
            <v>1120231746</v>
          </cell>
          <cell r="B148" t="str">
            <v>赵奕智</v>
          </cell>
          <cell r="C148" t="str">
            <v>机械工程</v>
          </cell>
          <cell r="D148" t="str">
            <v>精工2317</v>
          </cell>
          <cell r="E148">
            <v>9.6000000000000014</v>
          </cell>
          <cell r="F148">
            <v>55</v>
          </cell>
          <cell r="G148">
            <v>2.1</v>
          </cell>
          <cell r="H148">
            <v>2.2000000000000002</v>
          </cell>
          <cell r="I148">
            <v>1.3</v>
          </cell>
          <cell r="J148">
            <v>2.5</v>
          </cell>
          <cell r="K148">
            <v>1.5</v>
          </cell>
        </row>
        <row r="149">
          <cell r="A149">
            <v>1120232468</v>
          </cell>
          <cell r="B149" t="str">
            <v>周峻羽</v>
          </cell>
          <cell r="C149" t="str">
            <v>机械工程</v>
          </cell>
          <cell r="D149" t="str">
            <v>精工2314</v>
          </cell>
          <cell r="E149">
            <v>25.7</v>
          </cell>
          <cell r="F149">
            <v>25</v>
          </cell>
          <cell r="G149">
            <v>4</v>
          </cell>
          <cell r="H149">
            <v>7</v>
          </cell>
          <cell r="I149">
            <v>3.8</v>
          </cell>
          <cell r="J149">
            <v>6.7</v>
          </cell>
          <cell r="K149">
            <v>4.2</v>
          </cell>
        </row>
        <row r="150">
          <cell r="A150">
            <v>1120231021</v>
          </cell>
          <cell r="B150" t="str">
            <v>曾越</v>
          </cell>
          <cell r="C150" t="str">
            <v>机械工程</v>
          </cell>
          <cell r="D150" t="str">
            <v>精工2317</v>
          </cell>
          <cell r="E150">
            <v>10.199999999999999</v>
          </cell>
          <cell r="F150">
            <v>53</v>
          </cell>
          <cell r="G150">
            <v>1</v>
          </cell>
          <cell r="H150">
            <v>1</v>
          </cell>
          <cell r="I150">
            <v>3</v>
          </cell>
          <cell r="J150">
            <v>4.2</v>
          </cell>
          <cell r="K150">
            <v>1</v>
          </cell>
        </row>
        <row r="151">
          <cell r="A151">
            <v>1120232626</v>
          </cell>
          <cell r="B151" t="str">
            <v>汪品</v>
          </cell>
          <cell r="C151" t="str">
            <v>机械工程</v>
          </cell>
          <cell r="D151" t="str">
            <v>精工2317</v>
          </cell>
          <cell r="E151">
            <v>3.45</v>
          </cell>
          <cell r="F151">
            <v>75</v>
          </cell>
          <cell r="G151">
            <v>0.45</v>
          </cell>
          <cell r="H151">
            <v>2</v>
          </cell>
          <cell r="I151">
            <v>0</v>
          </cell>
          <cell r="J151">
            <v>0.5</v>
          </cell>
          <cell r="K151">
            <v>0.5</v>
          </cell>
        </row>
        <row r="152">
          <cell r="A152">
            <v>1120231756</v>
          </cell>
          <cell r="B152" t="str">
            <v>司常锐</v>
          </cell>
          <cell r="C152" t="str">
            <v>机械工程</v>
          </cell>
          <cell r="D152" t="str">
            <v>精工2316</v>
          </cell>
          <cell r="E152">
            <v>13.3</v>
          </cell>
          <cell r="F152">
            <v>48</v>
          </cell>
          <cell r="G152">
            <v>3.5</v>
          </cell>
          <cell r="H152">
            <v>2.6</v>
          </cell>
          <cell r="I152">
            <v>2.7</v>
          </cell>
          <cell r="J152">
            <v>1.8</v>
          </cell>
          <cell r="K152">
            <v>2.7</v>
          </cell>
        </row>
        <row r="153">
          <cell r="A153">
            <v>1120231754</v>
          </cell>
          <cell r="B153" t="str">
            <v>喻韬</v>
          </cell>
          <cell r="C153" t="str">
            <v>机械工程</v>
          </cell>
          <cell r="D153" t="str">
            <v>精工2316</v>
          </cell>
          <cell r="E153">
            <v>4.2</v>
          </cell>
          <cell r="F153">
            <v>73</v>
          </cell>
          <cell r="G153">
            <v>1.3</v>
          </cell>
          <cell r="H153">
            <v>0</v>
          </cell>
          <cell r="I153">
            <v>0</v>
          </cell>
          <cell r="J153">
            <v>0</v>
          </cell>
          <cell r="K153">
            <v>2.9</v>
          </cell>
        </row>
        <row r="154">
          <cell r="A154">
            <v>1120232314</v>
          </cell>
          <cell r="B154" t="str">
            <v>桑春月</v>
          </cell>
          <cell r="C154" t="str">
            <v>机械工程</v>
          </cell>
          <cell r="D154" t="str">
            <v>精工2314</v>
          </cell>
          <cell r="E154">
            <v>29.9</v>
          </cell>
          <cell r="F154">
            <v>19</v>
          </cell>
          <cell r="G154">
            <v>3.3</v>
          </cell>
          <cell r="H154">
            <v>5.6</v>
          </cell>
          <cell r="I154">
            <v>8.8000000000000007</v>
          </cell>
          <cell r="J154">
            <v>10.199999999999999</v>
          </cell>
          <cell r="K154">
            <v>2</v>
          </cell>
        </row>
        <row r="155">
          <cell r="A155">
            <v>1120232487</v>
          </cell>
          <cell r="B155" t="str">
            <v>王镜然</v>
          </cell>
          <cell r="C155" t="str">
            <v>机械工程</v>
          </cell>
          <cell r="D155" t="str">
            <v>精工2315</v>
          </cell>
          <cell r="E155">
            <v>21.1</v>
          </cell>
          <cell r="F155">
            <v>34</v>
          </cell>
          <cell r="G155">
            <v>4</v>
          </cell>
          <cell r="H155">
            <v>3.3</v>
          </cell>
          <cell r="I155">
            <v>3.8</v>
          </cell>
          <cell r="J155">
            <v>3.5</v>
          </cell>
          <cell r="K155">
            <v>6.5</v>
          </cell>
        </row>
        <row r="156">
          <cell r="A156">
            <v>1120231633</v>
          </cell>
          <cell r="B156" t="str">
            <v>罗仁健</v>
          </cell>
          <cell r="C156" t="str">
            <v>机械工程</v>
          </cell>
          <cell r="D156" t="str">
            <v>精工2317</v>
          </cell>
          <cell r="E156">
            <v>17.649999999999999</v>
          </cell>
          <cell r="F156">
            <v>40</v>
          </cell>
          <cell r="G156">
            <v>2.2999999999999998</v>
          </cell>
          <cell r="H156">
            <v>1.85</v>
          </cell>
          <cell r="I156">
            <v>2.2999999999999998</v>
          </cell>
          <cell r="J156">
            <v>3.6</v>
          </cell>
          <cell r="K156">
            <v>7.6</v>
          </cell>
        </row>
        <row r="157">
          <cell r="A157">
            <v>1120231027</v>
          </cell>
          <cell r="B157" t="str">
            <v>戴隆煊</v>
          </cell>
          <cell r="C157" t="str">
            <v>机械工程</v>
          </cell>
          <cell r="D157" t="str">
            <v>精工2315</v>
          </cell>
          <cell r="E157">
            <v>7</v>
          </cell>
          <cell r="F157">
            <v>63</v>
          </cell>
          <cell r="G157">
            <v>1.3</v>
          </cell>
          <cell r="H157">
            <v>1</v>
          </cell>
          <cell r="I157">
            <v>1.65</v>
          </cell>
          <cell r="J157">
            <v>1.05</v>
          </cell>
          <cell r="K157">
            <v>2</v>
          </cell>
        </row>
        <row r="158">
          <cell r="A158">
            <v>1120232517</v>
          </cell>
          <cell r="B158" t="str">
            <v>梁靖旭</v>
          </cell>
          <cell r="C158" t="str">
            <v>机械工程</v>
          </cell>
          <cell r="D158" t="str">
            <v>精工2315</v>
          </cell>
          <cell r="E158">
            <v>7.9</v>
          </cell>
          <cell r="F158">
            <v>61</v>
          </cell>
          <cell r="G158">
            <v>1</v>
          </cell>
          <cell r="H158">
            <v>1.6</v>
          </cell>
          <cell r="I158">
            <v>1.8</v>
          </cell>
          <cell r="J158">
            <v>1</v>
          </cell>
          <cell r="K158">
            <v>2.5</v>
          </cell>
        </row>
        <row r="159">
          <cell r="A159">
            <v>1120231292</v>
          </cell>
          <cell r="B159" t="str">
            <v>夏智豪</v>
          </cell>
          <cell r="C159" t="str">
            <v>机械工程</v>
          </cell>
          <cell r="D159" t="str">
            <v>精工2315</v>
          </cell>
          <cell r="E159">
            <v>32.325000000000003</v>
          </cell>
          <cell r="F159">
            <v>13</v>
          </cell>
          <cell r="G159">
            <v>3.65</v>
          </cell>
          <cell r="H159">
            <v>6.2750000000000004</v>
          </cell>
          <cell r="I159">
            <v>4.5</v>
          </cell>
          <cell r="J159">
            <v>3</v>
          </cell>
          <cell r="K159">
            <v>14.9</v>
          </cell>
        </row>
        <row r="160">
          <cell r="A160">
            <v>1120232885</v>
          </cell>
          <cell r="B160" t="str">
            <v>陈周冬</v>
          </cell>
          <cell r="C160" t="str">
            <v>机械工程</v>
          </cell>
          <cell r="D160" t="str">
            <v>精工2315</v>
          </cell>
          <cell r="E160">
            <v>0</v>
          </cell>
          <cell r="F160">
            <v>84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>
            <v>1120232282</v>
          </cell>
          <cell r="B161" t="str">
            <v>孙卿皓</v>
          </cell>
          <cell r="C161" t="str">
            <v>机械工程</v>
          </cell>
          <cell r="D161" t="str">
            <v>精工2317</v>
          </cell>
          <cell r="E161">
            <v>7</v>
          </cell>
          <cell r="F161">
            <v>63</v>
          </cell>
          <cell r="G161">
            <v>2</v>
          </cell>
          <cell r="H161">
            <v>1</v>
          </cell>
          <cell r="I161">
            <v>1</v>
          </cell>
          <cell r="J161">
            <v>1.5</v>
          </cell>
          <cell r="K161">
            <v>1.5</v>
          </cell>
        </row>
        <row r="162">
          <cell r="A162">
            <v>1120231267</v>
          </cell>
          <cell r="B162" t="str">
            <v>甘俊晖</v>
          </cell>
          <cell r="C162" t="str">
            <v>机械工程</v>
          </cell>
          <cell r="D162" t="str">
            <v>精工2317</v>
          </cell>
          <cell r="E162">
            <v>17.25</v>
          </cell>
          <cell r="F162">
            <v>42</v>
          </cell>
          <cell r="G162">
            <v>0.15</v>
          </cell>
          <cell r="H162">
            <v>1</v>
          </cell>
          <cell r="I162">
            <v>7.7</v>
          </cell>
          <cell r="J162">
            <v>1.7</v>
          </cell>
          <cell r="K162">
            <v>6.7</v>
          </cell>
        </row>
        <row r="163">
          <cell r="A163">
            <v>1120231437</v>
          </cell>
          <cell r="B163" t="str">
            <v>张峰瑞</v>
          </cell>
          <cell r="C163" t="str">
            <v>机械工程</v>
          </cell>
          <cell r="D163" t="str">
            <v>精工2315</v>
          </cell>
          <cell r="E163">
            <v>6.45</v>
          </cell>
          <cell r="F163">
            <v>67</v>
          </cell>
          <cell r="G163">
            <v>1.65</v>
          </cell>
          <cell r="H163">
            <v>1.75</v>
          </cell>
          <cell r="I163">
            <v>1</v>
          </cell>
          <cell r="J163">
            <v>1.55</v>
          </cell>
          <cell r="K163">
            <v>0.5</v>
          </cell>
        </row>
        <row r="164">
          <cell r="A164">
            <v>1120231025</v>
          </cell>
          <cell r="B164" t="str">
            <v>欧阳雯昕</v>
          </cell>
          <cell r="C164" t="str">
            <v>机械工程</v>
          </cell>
          <cell r="D164" t="str">
            <v>精工2316</v>
          </cell>
          <cell r="E164">
            <v>29.199999999999996</v>
          </cell>
          <cell r="F164">
            <v>22</v>
          </cell>
          <cell r="G164">
            <v>3.2</v>
          </cell>
          <cell r="H164">
            <v>6.5</v>
          </cell>
          <cell r="I164">
            <v>5.0999999999999996</v>
          </cell>
          <cell r="J164">
            <v>5.8</v>
          </cell>
          <cell r="K164">
            <v>8.6</v>
          </cell>
        </row>
        <row r="165">
          <cell r="A165">
            <v>1120232039</v>
          </cell>
          <cell r="B165" t="str">
            <v>王一鸣</v>
          </cell>
          <cell r="C165" t="str">
            <v>机械工程</v>
          </cell>
          <cell r="D165" t="str">
            <v>精工2314</v>
          </cell>
          <cell r="E165">
            <v>9.3000000000000007</v>
          </cell>
          <cell r="F165">
            <v>56</v>
          </cell>
          <cell r="G165">
            <v>3.7</v>
          </cell>
          <cell r="H165">
            <v>2.2000000000000002</v>
          </cell>
          <cell r="I165">
            <v>1.7</v>
          </cell>
          <cell r="J165">
            <v>1.5</v>
          </cell>
          <cell r="K165">
            <v>0.2</v>
          </cell>
        </row>
        <row r="166">
          <cell r="A166">
            <v>1120231783</v>
          </cell>
          <cell r="B166" t="str">
            <v>闫志远</v>
          </cell>
          <cell r="C166" t="str">
            <v>机械工程</v>
          </cell>
          <cell r="D166" t="str">
            <v>精工2315</v>
          </cell>
          <cell r="E166">
            <v>6.45</v>
          </cell>
          <cell r="F166">
            <v>67</v>
          </cell>
          <cell r="G166">
            <v>0.4</v>
          </cell>
          <cell r="H166">
            <v>0.95</v>
          </cell>
          <cell r="I166">
            <v>2.4</v>
          </cell>
          <cell r="J166">
            <v>1.5</v>
          </cell>
          <cell r="K166">
            <v>1.2</v>
          </cell>
        </row>
        <row r="167">
          <cell r="A167">
            <v>1120232508</v>
          </cell>
          <cell r="B167" t="str">
            <v>宋宇飞</v>
          </cell>
          <cell r="C167" t="str">
            <v>机械工程</v>
          </cell>
          <cell r="D167" t="str">
            <v>精工2315</v>
          </cell>
          <cell r="E167">
            <v>25</v>
          </cell>
          <cell r="F167">
            <v>26</v>
          </cell>
          <cell r="G167">
            <v>0.7</v>
          </cell>
          <cell r="H167">
            <v>2.6</v>
          </cell>
          <cell r="I167">
            <v>4.8</v>
          </cell>
          <cell r="J167">
            <v>7.7</v>
          </cell>
          <cell r="K167">
            <v>9.1999999999999993</v>
          </cell>
        </row>
        <row r="168">
          <cell r="A168">
            <v>1120230739</v>
          </cell>
          <cell r="B168" t="str">
            <v>杨鹏</v>
          </cell>
          <cell r="C168" t="str">
            <v>机械工程</v>
          </cell>
          <cell r="D168" t="str">
            <v>精工2317</v>
          </cell>
          <cell r="E168">
            <v>14.600000000000001</v>
          </cell>
          <cell r="F168">
            <v>47</v>
          </cell>
          <cell r="G168">
            <v>1.2</v>
          </cell>
          <cell r="H168">
            <v>3</v>
          </cell>
          <cell r="I168">
            <v>3.7</v>
          </cell>
          <cell r="J168">
            <v>4.5</v>
          </cell>
          <cell r="K168">
            <v>2.2000000000000002</v>
          </cell>
        </row>
        <row r="169">
          <cell r="A169">
            <v>1120231767</v>
          </cell>
          <cell r="B169" t="str">
            <v>范霄扬</v>
          </cell>
          <cell r="C169" t="str">
            <v>机械工程</v>
          </cell>
          <cell r="D169" t="str">
            <v>精工2316</v>
          </cell>
          <cell r="E169">
            <v>16.23</v>
          </cell>
          <cell r="F169">
            <v>44</v>
          </cell>
          <cell r="G169">
            <v>3.95</v>
          </cell>
          <cell r="H169">
            <v>2</v>
          </cell>
          <cell r="I169">
            <v>5.8</v>
          </cell>
          <cell r="J169">
            <v>3.48</v>
          </cell>
          <cell r="K169">
            <v>1</v>
          </cell>
        </row>
        <row r="170">
          <cell r="A170">
            <v>1120233000</v>
          </cell>
          <cell r="B170" t="str">
            <v>陈政亨</v>
          </cell>
          <cell r="C170" t="str">
            <v>机械工程</v>
          </cell>
          <cell r="D170" t="str">
            <v>精工2316</v>
          </cell>
          <cell r="E170">
            <v>9.1999999999999993</v>
          </cell>
          <cell r="F170">
            <v>57</v>
          </cell>
          <cell r="G170">
            <v>1.7</v>
          </cell>
          <cell r="H170">
            <v>3.5</v>
          </cell>
          <cell r="I170">
            <v>1</v>
          </cell>
          <cell r="J170">
            <v>2</v>
          </cell>
          <cell r="K170">
            <v>1</v>
          </cell>
        </row>
        <row r="171">
          <cell r="A171">
            <v>1120230217</v>
          </cell>
          <cell r="B171" t="str">
            <v>陈智博</v>
          </cell>
          <cell r="C171" t="str">
            <v>机械工程</v>
          </cell>
          <cell r="D171" t="str">
            <v>精工2314</v>
          </cell>
          <cell r="E171">
            <v>34.35</v>
          </cell>
          <cell r="F171">
            <v>10</v>
          </cell>
          <cell r="G171">
            <v>4.05</v>
          </cell>
          <cell r="H171">
            <v>3</v>
          </cell>
          <cell r="I171">
            <v>6.2</v>
          </cell>
          <cell r="J171">
            <v>15.5</v>
          </cell>
          <cell r="K171">
            <v>5.6</v>
          </cell>
        </row>
        <row r="172">
          <cell r="A172">
            <v>1120231435</v>
          </cell>
          <cell r="B172" t="str">
            <v>姜智浩</v>
          </cell>
          <cell r="C172" t="str">
            <v>机械工程</v>
          </cell>
          <cell r="D172" t="str">
            <v>精工2316</v>
          </cell>
          <cell r="E172">
            <v>16.350000000000001</v>
          </cell>
          <cell r="F172">
            <v>43</v>
          </cell>
          <cell r="G172">
            <v>2.7</v>
          </cell>
          <cell r="H172">
            <v>3.2</v>
          </cell>
          <cell r="I172">
            <v>5.15</v>
          </cell>
          <cell r="J172">
            <v>1</v>
          </cell>
          <cell r="K172">
            <v>4.3</v>
          </cell>
        </row>
        <row r="173">
          <cell r="A173">
            <v>1120232507</v>
          </cell>
          <cell r="B173" t="str">
            <v>熊如丹</v>
          </cell>
          <cell r="C173" t="str">
            <v>机械工程</v>
          </cell>
          <cell r="D173" t="str">
            <v>精工2314</v>
          </cell>
          <cell r="E173">
            <v>13</v>
          </cell>
          <cell r="F173">
            <v>49</v>
          </cell>
          <cell r="G173">
            <v>1.3</v>
          </cell>
          <cell r="H173">
            <v>4.2</v>
          </cell>
          <cell r="I173">
            <v>2.5</v>
          </cell>
          <cell r="J173">
            <v>3</v>
          </cell>
          <cell r="K173">
            <v>2</v>
          </cell>
        </row>
        <row r="174">
          <cell r="A174">
            <v>1120231030</v>
          </cell>
          <cell r="B174" t="str">
            <v>李自强</v>
          </cell>
          <cell r="C174" t="str">
            <v>机械工程</v>
          </cell>
          <cell r="D174" t="str">
            <v>精工2314</v>
          </cell>
          <cell r="E174">
            <v>18.2</v>
          </cell>
          <cell r="F174">
            <v>38</v>
          </cell>
          <cell r="G174">
            <v>0</v>
          </cell>
          <cell r="H174">
            <v>1.4</v>
          </cell>
          <cell r="I174">
            <v>6.8</v>
          </cell>
          <cell r="J174">
            <v>7.5</v>
          </cell>
          <cell r="K174">
            <v>2.5</v>
          </cell>
        </row>
        <row r="175">
          <cell r="A175">
            <v>1120231648</v>
          </cell>
          <cell r="B175" t="str">
            <v>李卓阳</v>
          </cell>
          <cell r="C175" t="str">
            <v>机械工程</v>
          </cell>
          <cell r="D175" t="str">
            <v>精工2316</v>
          </cell>
          <cell r="E175">
            <v>21.75</v>
          </cell>
          <cell r="F175">
            <v>33</v>
          </cell>
          <cell r="G175">
            <v>1.8</v>
          </cell>
          <cell r="H175">
            <v>3.8</v>
          </cell>
          <cell r="I175">
            <v>6.75</v>
          </cell>
          <cell r="J175">
            <v>5.9</v>
          </cell>
          <cell r="K175">
            <v>3.5</v>
          </cell>
        </row>
        <row r="176">
          <cell r="A176">
            <v>1120231001</v>
          </cell>
          <cell r="B176" t="str">
            <v>李炎泽</v>
          </cell>
          <cell r="C176" t="str">
            <v>机械工程</v>
          </cell>
          <cell r="D176" t="str">
            <v>精工2316</v>
          </cell>
          <cell r="E176">
            <v>0.7</v>
          </cell>
          <cell r="F176">
            <v>83</v>
          </cell>
          <cell r="G176">
            <v>0.7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7">
          <cell r="A177">
            <v>1120232516</v>
          </cell>
          <cell r="B177" t="str">
            <v>苏泓午</v>
          </cell>
          <cell r="C177" t="str">
            <v>机械工程</v>
          </cell>
          <cell r="D177" t="str">
            <v>精工2317</v>
          </cell>
          <cell r="E177">
            <v>15.3</v>
          </cell>
          <cell r="F177">
            <v>46</v>
          </cell>
          <cell r="G177">
            <v>0</v>
          </cell>
          <cell r="H177">
            <v>0.9</v>
          </cell>
          <cell r="I177">
            <v>4</v>
          </cell>
          <cell r="J177">
            <v>4.2</v>
          </cell>
          <cell r="K177">
            <v>6.2</v>
          </cell>
        </row>
        <row r="178">
          <cell r="A178">
            <v>1120230889</v>
          </cell>
          <cell r="B178" t="str">
            <v>杨博</v>
          </cell>
          <cell r="C178" t="str">
            <v>机械工程</v>
          </cell>
          <cell r="D178" t="str">
            <v>精工2314</v>
          </cell>
          <cell r="E178">
            <v>21.9</v>
          </cell>
          <cell r="F178">
            <v>32</v>
          </cell>
          <cell r="G178">
            <v>5.3</v>
          </cell>
          <cell r="H178">
            <v>4.7</v>
          </cell>
          <cell r="I178">
            <v>6.4</v>
          </cell>
          <cell r="J178">
            <v>3.5</v>
          </cell>
          <cell r="K178">
            <v>2</v>
          </cell>
        </row>
        <row r="179">
          <cell r="A179">
            <v>1120232521</v>
          </cell>
          <cell r="B179" t="str">
            <v>阎听松</v>
          </cell>
          <cell r="C179" t="str">
            <v>机械工程</v>
          </cell>
          <cell r="D179" t="str">
            <v>精工2316</v>
          </cell>
          <cell r="E179">
            <v>4.25</v>
          </cell>
          <cell r="F179">
            <v>72</v>
          </cell>
          <cell r="G179">
            <v>1</v>
          </cell>
          <cell r="H179">
            <v>1</v>
          </cell>
          <cell r="I179">
            <v>1.3</v>
          </cell>
          <cell r="J179">
            <v>0.45</v>
          </cell>
          <cell r="K179">
            <v>0.5</v>
          </cell>
        </row>
        <row r="180">
          <cell r="A180">
            <v>1120232497</v>
          </cell>
          <cell r="B180" t="str">
            <v>彭双泉</v>
          </cell>
          <cell r="C180" t="str">
            <v>机械工程</v>
          </cell>
          <cell r="D180" t="str">
            <v>精工2314</v>
          </cell>
          <cell r="E180">
            <v>10.199999999999999</v>
          </cell>
          <cell r="F180">
            <v>53</v>
          </cell>
          <cell r="G180">
            <v>5.0999999999999996</v>
          </cell>
          <cell r="H180">
            <v>2.85</v>
          </cell>
          <cell r="I180">
            <v>0.85</v>
          </cell>
          <cell r="J180">
            <v>1.4</v>
          </cell>
          <cell r="K180">
            <v>0</v>
          </cell>
        </row>
        <row r="181">
          <cell r="A181">
            <v>1120231440</v>
          </cell>
          <cell r="B181" t="str">
            <v>刘宇航</v>
          </cell>
          <cell r="C181" t="str">
            <v>机械工程</v>
          </cell>
          <cell r="D181" t="str">
            <v>精工2316</v>
          </cell>
          <cell r="E181">
            <v>30</v>
          </cell>
          <cell r="F181">
            <v>18</v>
          </cell>
          <cell r="G181">
            <v>3.9</v>
          </cell>
          <cell r="H181">
            <v>3.5</v>
          </cell>
          <cell r="I181">
            <v>5</v>
          </cell>
          <cell r="J181">
            <v>5.3</v>
          </cell>
          <cell r="K181">
            <v>12.3</v>
          </cell>
        </row>
        <row r="182">
          <cell r="A182">
            <v>1120230329</v>
          </cell>
          <cell r="B182" t="str">
            <v>李彦澎</v>
          </cell>
          <cell r="C182" t="str">
            <v>机械工程</v>
          </cell>
          <cell r="D182" t="str">
            <v>精工2317</v>
          </cell>
          <cell r="E182">
            <v>22.3</v>
          </cell>
          <cell r="F182">
            <v>30</v>
          </cell>
          <cell r="G182">
            <v>4</v>
          </cell>
          <cell r="H182">
            <v>3</v>
          </cell>
          <cell r="I182">
            <v>9.5</v>
          </cell>
          <cell r="J182">
            <v>1.5</v>
          </cell>
          <cell r="K182">
            <v>4.3</v>
          </cell>
        </row>
        <row r="183">
          <cell r="A183">
            <v>1120230993</v>
          </cell>
          <cell r="B183" t="str">
            <v>张岑</v>
          </cell>
          <cell r="C183" t="str">
            <v>机械工程</v>
          </cell>
          <cell r="D183" t="str">
            <v>精工2314</v>
          </cell>
          <cell r="E183">
            <v>3.3000000000000003</v>
          </cell>
          <cell r="F183">
            <v>76</v>
          </cell>
          <cell r="G183">
            <v>1.5</v>
          </cell>
          <cell r="H183">
            <v>1.2</v>
          </cell>
          <cell r="I183">
            <v>0</v>
          </cell>
          <cell r="J183">
            <v>0.6</v>
          </cell>
          <cell r="K183">
            <v>0</v>
          </cell>
        </row>
        <row r="184">
          <cell r="A184">
            <v>1120232200</v>
          </cell>
          <cell r="B184" t="str">
            <v>杨洪</v>
          </cell>
          <cell r="C184" t="str">
            <v>机械工程</v>
          </cell>
          <cell r="D184" t="str">
            <v>精工2315</v>
          </cell>
          <cell r="E184">
            <v>7.6000000000000005</v>
          </cell>
          <cell r="F184">
            <v>62</v>
          </cell>
          <cell r="G184">
            <v>0.8</v>
          </cell>
          <cell r="H184">
            <v>1.2</v>
          </cell>
          <cell r="I184">
            <v>4.2</v>
          </cell>
          <cell r="J184">
            <v>1.2</v>
          </cell>
          <cell r="K184">
            <v>0.2</v>
          </cell>
        </row>
        <row r="185">
          <cell r="A185">
            <v>1120232501</v>
          </cell>
          <cell r="B185" t="str">
            <v>袁聿辰</v>
          </cell>
          <cell r="C185" t="str">
            <v>机械工程</v>
          </cell>
          <cell r="D185" t="str">
            <v>精工2315</v>
          </cell>
          <cell r="E185">
            <v>22.8</v>
          </cell>
          <cell r="F185">
            <v>28</v>
          </cell>
          <cell r="G185">
            <v>2.4</v>
          </cell>
          <cell r="H185">
            <v>3.5</v>
          </cell>
          <cell r="I185">
            <v>4.5</v>
          </cell>
          <cell r="J185">
            <v>4</v>
          </cell>
          <cell r="K185">
            <v>8.4</v>
          </cell>
        </row>
        <row r="186">
          <cell r="A186">
            <v>1120232486</v>
          </cell>
          <cell r="B186" t="str">
            <v>普京</v>
          </cell>
          <cell r="C186" t="str">
            <v>机械工程</v>
          </cell>
          <cell r="D186" t="str">
            <v>精工2317</v>
          </cell>
          <cell r="E186">
            <v>0</v>
          </cell>
          <cell r="F186">
            <v>84</v>
          </cell>
          <cell r="G186">
            <v>0</v>
          </cell>
          <cell r="H186">
            <v>0</v>
          </cell>
          <cell r="I186">
            <v>0</v>
          </cell>
          <cell r="J186">
            <v>-0.5</v>
          </cell>
          <cell r="K186">
            <v>0.5</v>
          </cell>
        </row>
        <row r="187">
          <cell r="A187">
            <v>1120231017</v>
          </cell>
          <cell r="B187" t="str">
            <v>龚彤彤</v>
          </cell>
          <cell r="C187" t="str">
            <v>机械工程</v>
          </cell>
          <cell r="D187" t="str">
            <v>精工2317</v>
          </cell>
          <cell r="E187">
            <v>17.55</v>
          </cell>
          <cell r="F187">
            <v>41</v>
          </cell>
          <cell r="G187">
            <v>3.9</v>
          </cell>
          <cell r="H187">
            <v>2.5</v>
          </cell>
          <cell r="I187">
            <v>1.7</v>
          </cell>
          <cell r="J187">
            <v>6.7</v>
          </cell>
          <cell r="K187">
            <v>2.75</v>
          </cell>
        </row>
        <row r="188">
          <cell r="A188">
            <v>1120230988</v>
          </cell>
          <cell r="B188" t="str">
            <v>彭子翀</v>
          </cell>
          <cell r="C188" t="str">
            <v>机械工程</v>
          </cell>
          <cell r="D188" t="str">
            <v>精工2317</v>
          </cell>
          <cell r="E188">
            <v>6.7</v>
          </cell>
          <cell r="F188">
            <v>65</v>
          </cell>
          <cell r="G188">
            <v>1.7</v>
          </cell>
          <cell r="H188">
            <v>1</v>
          </cell>
          <cell r="I188">
            <v>3.5</v>
          </cell>
          <cell r="J188">
            <v>0</v>
          </cell>
          <cell r="K188">
            <v>0.5</v>
          </cell>
        </row>
        <row r="189">
          <cell r="A189">
            <v>1120232703</v>
          </cell>
          <cell r="B189" t="str">
            <v>谢涵达</v>
          </cell>
          <cell r="C189" t="str">
            <v>机械工程</v>
          </cell>
          <cell r="D189" t="str">
            <v>精工2315</v>
          </cell>
          <cell r="E189">
            <v>3.5</v>
          </cell>
          <cell r="F189">
            <v>74</v>
          </cell>
          <cell r="G189">
            <v>0</v>
          </cell>
          <cell r="H189">
            <v>0</v>
          </cell>
          <cell r="I189">
            <v>3.5</v>
          </cell>
          <cell r="J189">
            <v>0</v>
          </cell>
          <cell r="K189">
            <v>0</v>
          </cell>
        </row>
        <row r="190">
          <cell r="A190">
            <v>1120231029</v>
          </cell>
          <cell r="B190" t="str">
            <v>李佳音</v>
          </cell>
          <cell r="C190" t="str">
            <v>机械工程</v>
          </cell>
          <cell r="D190" t="str">
            <v>精工2314</v>
          </cell>
          <cell r="E190">
            <v>26.750000000000004</v>
          </cell>
          <cell r="F190">
            <v>23</v>
          </cell>
          <cell r="G190">
            <v>3.95</v>
          </cell>
          <cell r="H190">
            <v>2</v>
          </cell>
          <cell r="I190">
            <v>10.1</v>
          </cell>
          <cell r="J190">
            <v>4.4000000000000004</v>
          </cell>
          <cell r="K190">
            <v>6.3</v>
          </cell>
        </row>
        <row r="191">
          <cell r="A191">
            <v>1120231443</v>
          </cell>
          <cell r="B191" t="str">
            <v>安芝麒</v>
          </cell>
          <cell r="C191" t="str">
            <v>机械工程</v>
          </cell>
          <cell r="D191" t="str">
            <v>精工2316</v>
          </cell>
          <cell r="E191">
            <v>15.85</v>
          </cell>
          <cell r="F191">
            <v>45</v>
          </cell>
          <cell r="G191">
            <v>4.9000000000000004</v>
          </cell>
          <cell r="H191">
            <v>2.2000000000000002</v>
          </cell>
          <cell r="I191">
            <v>5.2</v>
          </cell>
          <cell r="J191">
            <v>2.2000000000000002</v>
          </cell>
          <cell r="K191">
            <v>1.35</v>
          </cell>
        </row>
        <row r="192">
          <cell r="A192">
            <v>1120232210</v>
          </cell>
          <cell r="B192" t="str">
            <v>唐德瑞</v>
          </cell>
          <cell r="C192" t="str">
            <v>机械工程</v>
          </cell>
          <cell r="D192" t="str">
            <v>精工2315</v>
          </cell>
          <cell r="E192">
            <v>5.9</v>
          </cell>
          <cell r="F192">
            <v>70</v>
          </cell>
          <cell r="G192">
            <v>0</v>
          </cell>
          <cell r="H192">
            <v>1.2</v>
          </cell>
          <cell r="I192">
            <v>0</v>
          </cell>
          <cell r="J192">
            <v>2.2000000000000002</v>
          </cell>
          <cell r="K192">
            <v>2.5</v>
          </cell>
        </row>
        <row r="193">
          <cell r="A193">
            <v>1120230975</v>
          </cell>
          <cell r="B193" t="str">
            <v>王帅琦</v>
          </cell>
          <cell r="C193" t="str">
            <v>机械工程</v>
          </cell>
          <cell r="D193" t="str">
            <v>精工2315</v>
          </cell>
          <cell r="E193">
            <v>8.9</v>
          </cell>
          <cell r="F193">
            <v>58</v>
          </cell>
          <cell r="G193">
            <v>1.9</v>
          </cell>
          <cell r="H193">
            <v>0.7</v>
          </cell>
          <cell r="I193">
            <v>3.2</v>
          </cell>
          <cell r="J193">
            <v>0.2</v>
          </cell>
          <cell r="K193">
            <v>2.9</v>
          </cell>
        </row>
        <row r="194">
          <cell r="A194">
            <v>1120231014</v>
          </cell>
          <cell r="B194" t="str">
            <v>汪珈民</v>
          </cell>
          <cell r="C194" t="str">
            <v>机械工程</v>
          </cell>
          <cell r="D194" t="str">
            <v>精工2314</v>
          </cell>
          <cell r="E194">
            <v>2.7</v>
          </cell>
          <cell r="F194">
            <v>79</v>
          </cell>
          <cell r="G194">
            <v>1.2</v>
          </cell>
          <cell r="H194">
            <v>0.6</v>
          </cell>
          <cell r="I194">
            <v>0.2</v>
          </cell>
          <cell r="J194">
            <v>0.5</v>
          </cell>
          <cell r="K194">
            <v>0.2</v>
          </cell>
        </row>
        <row r="195">
          <cell r="A195">
            <v>1120232881</v>
          </cell>
          <cell r="B195" t="str">
            <v>王甫杰</v>
          </cell>
          <cell r="C195" t="str">
            <v>机械工程</v>
          </cell>
          <cell r="D195" t="str">
            <v>精工2317</v>
          </cell>
          <cell r="E195">
            <v>10.8</v>
          </cell>
          <cell r="F195">
            <v>51</v>
          </cell>
          <cell r="G195">
            <v>0.45</v>
          </cell>
          <cell r="H195">
            <v>2</v>
          </cell>
          <cell r="I195">
            <v>3.1</v>
          </cell>
          <cell r="J195">
            <v>4.75</v>
          </cell>
          <cell r="K195">
            <v>0.5</v>
          </cell>
        </row>
        <row r="196">
          <cell r="A196">
            <v>1120232214</v>
          </cell>
          <cell r="B196" t="str">
            <v>龙治道</v>
          </cell>
          <cell r="C196" t="str">
            <v>机械工程</v>
          </cell>
          <cell r="D196" t="str">
            <v>精工2316</v>
          </cell>
          <cell r="E196">
            <v>1.85</v>
          </cell>
          <cell r="F196">
            <v>82</v>
          </cell>
          <cell r="G196">
            <v>1.2</v>
          </cell>
          <cell r="H196">
            <v>0</v>
          </cell>
          <cell r="I196">
            <v>0.65</v>
          </cell>
          <cell r="J196">
            <v>0</v>
          </cell>
          <cell r="K196">
            <v>0</v>
          </cell>
        </row>
        <row r="197">
          <cell r="A197">
            <v>1120231004</v>
          </cell>
          <cell r="B197" t="str">
            <v>易星浩</v>
          </cell>
          <cell r="C197" t="str">
            <v>机械工程</v>
          </cell>
          <cell r="D197" t="str">
            <v>精工2316</v>
          </cell>
          <cell r="E197">
            <v>3.2</v>
          </cell>
          <cell r="F197">
            <v>77</v>
          </cell>
          <cell r="G197">
            <v>1</v>
          </cell>
          <cell r="H197">
            <v>0</v>
          </cell>
          <cell r="I197">
            <v>2.2000000000000002</v>
          </cell>
          <cell r="J197">
            <v>0</v>
          </cell>
          <cell r="K197">
            <v>0</v>
          </cell>
        </row>
        <row r="198">
          <cell r="A198">
            <v>1120231015</v>
          </cell>
          <cell r="B198" t="str">
            <v>徐其定</v>
          </cell>
          <cell r="C198" t="str">
            <v>机械工程</v>
          </cell>
          <cell r="D198" t="str">
            <v>精工2315</v>
          </cell>
          <cell r="E198">
            <v>3.2</v>
          </cell>
          <cell r="F198">
            <v>77</v>
          </cell>
          <cell r="G198">
            <v>1</v>
          </cell>
          <cell r="H198">
            <v>2</v>
          </cell>
          <cell r="I198">
            <v>0.2</v>
          </cell>
          <cell r="J198">
            <v>0</v>
          </cell>
          <cell r="K198">
            <v>0</v>
          </cell>
        </row>
        <row r="199">
          <cell r="A199">
            <v>1120230834</v>
          </cell>
          <cell r="B199" t="str">
            <v>王鹏</v>
          </cell>
          <cell r="C199" t="str">
            <v>机械工程</v>
          </cell>
          <cell r="D199" t="str">
            <v>精工2314</v>
          </cell>
          <cell r="E199">
            <v>10.8</v>
          </cell>
          <cell r="F199">
            <v>51</v>
          </cell>
          <cell r="G199">
            <v>2.1</v>
          </cell>
          <cell r="H199">
            <v>3.1</v>
          </cell>
          <cell r="I199">
            <v>4.9000000000000004</v>
          </cell>
          <cell r="J199">
            <v>0.7</v>
          </cell>
          <cell r="K199">
            <v>0</v>
          </cell>
        </row>
        <row r="200">
          <cell r="A200">
            <v>1120233026</v>
          </cell>
          <cell r="B200" t="str">
            <v>毛俊</v>
          </cell>
          <cell r="C200" t="str">
            <v>机械工程</v>
          </cell>
          <cell r="D200" t="str">
            <v>精工2317</v>
          </cell>
          <cell r="E200">
            <v>1.9</v>
          </cell>
          <cell r="F200">
            <v>81</v>
          </cell>
          <cell r="G200">
            <v>0.75</v>
          </cell>
          <cell r="H200">
            <v>1.1499999999999999</v>
          </cell>
          <cell r="I200">
            <v>0</v>
          </cell>
          <cell r="J200">
            <v>-0.5</v>
          </cell>
          <cell r="K200">
            <v>0.5</v>
          </cell>
        </row>
        <row r="201">
          <cell r="A201">
            <v>1120230986</v>
          </cell>
          <cell r="B201" t="str">
            <v>黄维韬</v>
          </cell>
          <cell r="C201" t="str">
            <v>机械工程</v>
          </cell>
          <cell r="D201" t="str">
            <v>精工2316</v>
          </cell>
          <cell r="E201">
            <v>5.8</v>
          </cell>
          <cell r="F201">
            <v>71</v>
          </cell>
          <cell r="G201">
            <v>2.7</v>
          </cell>
          <cell r="H201">
            <v>2.8</v>
          </cell>
          <cell r="I201">
            <v>0.3</v>
          </cell>
          <cell r="J201">
            <v>0</v>
          </cell>
          <cell r="K201">
            <v>0</v>
          </cell>
        </row>
        <row r="202">
          <cell r="A202">
            <v>1120231270</v>
          </cell>
          <cell r="B202" t="str">
            <v>凌梓竣</v>
          </cell>
          <cell r="C202" t="str">
            <v>机械工程</v>
          </cell>
          <cell r="D202" t="str">
            <v>精工2317</v>
          </cell>
          <cell r="E202">
            <v>8.1</v>
          </cell>
          <cell r="F202">
            <v>60</v>
          </cell>
          <cell r="G202">
            <v>1</v>
          </cell>
          <cell r="H202">
            <v>0</v>
          </cell>
          <cell r="I202">
            <v>3</v>
          </cell>
          <cell r="J202">
            <v>0.6</v>
          </cell>
          <cell r="K202">
            <v>3.5</v>
          </cell>
        </row>
        <row r="203">
          <cell r="A203">
            <v>1120233701</v>
          </cell>
          <cell r="B203" t="str">
            <v>伊孜巴萨尔·艾山江</v>
          </cell>
          <cell r="C203" t="str">
            <v>机械工程</v>
          </cell>
          <cell r="D203" t="str">
            <v>精工2316</v>
          </cell>
          <cell r="E203">
            <v>6.6000000000000014</v>
          </cell>
          <cell r="F203">
            <v>66</v>
          </cell>
          <cell r="G203">
            <v>3.2</v>
          </cell>
          <cell r="H203">
            <v>4.9000000000000004</v>
          </cell>
          <cell r="I203">
            <v>0</v>
          </cell>
          <cell r="J203">
            <v>-1.5</v>
          </cell>
          <cell r="K203">
            <v>0</v>
          </cell>
        </row>
        <row r="204">
          <cell r="A204">
            <v>1120232504</v>
          </cell>
          <cell r="B204" t="str">
            <v>罗予婕</v>
          </cell>
          <cell r="C204" t="str">
            <v>机械工程</v>
          </cell>
          <cell r="D204" t="str">
            <v>精工2315</v>
          </cell>
          <cell r="E204">
            <v>12.05</v>
          </cell>
          <cell r="F204">
            <v>50</v>
          </cell>
          <cell r="G204">
            <v>2.5</v>
          </cell>
          <cell r="H204">
            <v>3</v>
          </cell>
          <cell r="I204">
            <v>2.5</v>
          </cell>
          <cell r="J204">
            <v>1.8</v>
          </cell>
          <cell r="K204">
            <v>2.25</v>
          </cell>
        </row>
        <row r="205">
          <cell r="A205">
            <v>1120232201</v>
          </cell>
          <cell r="B205" t="str">
            <v>梁明宇</v>
          </cell>
          <cell r="C205" t="str">
            <v>机械工程</v>
          </cell>
          <cell r="D205" t="str">
            <v>精工2314</v>
          </cell>
          <cell r="E205">
            <v>2.25</v>
          </cell>
          <cell r="F205">
            <v>80</v>
          </cell>
          <cell r="G205">
            <v>0</v>
          </cell>
          <cell r="H205">
            <v>-0.25</v>
          </cell>
          <cell r="I205">
            <v>3</v>
          </cell>
          <cell r="J205">
            <v>-0.5</v>
          </cell>
          <cell r="K205">
            <v>0</v>
          </cell>
        </row>
        <row r="206">
          <cell r="A206">
            <v>1120231449</v>
          </cell>
          <cell r="B206" t="str">
            <v>张彦迪</v>
          </cell>
          <cell r="C206" t="str">
            <v>机械工程</v>
          </cell>
          <cell r="D206" t="str">
            <v>精工2314</v>
          </cell>
          <cell r="E206">
            <v>8.5</v>
          </cell>
          <cell r="F206">
            <v>59</v>
          </cell>
          <cell r="G206">
            <v>3</v>
          </cell>
          <cell r="H206">
            <v>2</v>
          </cell>
          <cell r="I206">
            <v>2.5</v>
          </cell>
          <cell r="J206">
            <v>1</v>
          </cell>
          <cell r="K206">
            <v>0</v>
          </cell>
        </row>
        <row r="207">
          <cell r="A207">
            <v>1120232216</v>
          </cell>
          <cell r="B207" t="str">
            <v>姚智议</v>
          </cell>
          <cell r="C207" t="str">
            <v>机械工程</v>
          </cell>
          <cell r="D207" t="str">
            <v>精工2314</v>
          </cell>
          <cell r="E207">
            <v>6.25</v>
          </cell>
          <cell r="F207">
            <v>69</v>
          </cell>
          <cell r="G207">
            <v>2.2000000000000002</v>
          </cell>
          <cell r="H207">
            <v>0.75</v>
          </cell>
          <cell r="I207">
            <v>1.8</v>
          </cell>
          <cell r="J207">
            <v>1.5</v>
          </cell>
          <cell r="K207">
            <v>0</v>
          </cell>
        </row>
        <row r="208">
          <cell r="A208">
            <v>1120232718</v>
          </cell>
          <cell r="B208" t="str">
            <v>钟宸</v>
          </cell>
          <cell r="C208" t="str">
            <v>机械工程</v>
          </cell>
          <cell r="D208" t="str">
            <v>精工2315</v>
          </cell>
          <cell r="E208">
            <v>-3</v>
          </cell>
          <cell r="F208">
            <v>87</v>
          </cell>
          <cell r="G208">
            <v>0</v>
          </cell>
          <cell r="H208">
            <v>-1.5</v>
          </cell>
          <cell r="I208">
            <v>0</v>
          </cell>
          <cell r="J208">
            <v>-1.5</v>
          </cell>
          <cell r="K208">
            <v>0</v>
          </cell>
        </row>
        <row r="209">
          <cell r="A209">
            <v>1120230995</v>
          </cell>
          <cell r="B209" t="str">
            <v>黎广翔</v>
          </cell>
          <cell r="C209" t="str">
            <v>机械工程</v>
          </cell>
          <cell r="D209" t="str">
            <v>精工2316</v>
          </cell>
          <cell r="E209">
            <v>-1.5</v>
          </cell>
          <cell r="F209">
            <v>86</v>
          </cell>
          <cell r="G209">
            <v>0</v>
          </cell>
          <cell r="H209">
            <v>0</v>
          </cell>
          <cell r="I209">
            <v>0</v>
          </cell>
          <cell r="J209">
            <v>-1.5</v>
          </cell>
          <cell r="K209">
            <v>0</v>
          </cell>
        </row>
        <row r="210">
          <cell r="A210">
            <v>1120232224</v>
          </cell>
          <cell r="B210" t="str">
            <v>胡文政</v>
          </cell>
          <cell r="C210" t="str">
            <v>能源动力工程</v>
          </cell>
          <cell r="D210" t="str">
            <v>精工2325</v>
          </cell>
          <cell r="E210">
            <v>24.950000000000003</v>
          </cell>
          <cell r="F210">
            <v>11</v>
          </cell>
          <cell r="G210">
            <v>1.95</v>
          </cell>
          <cell r="H210">
            <v>1</v>
          </cell>
          <cell r="I210">
            <v>5</v>
          </cell>
          <cell r="J210">
            <v>7.2</v>
          </cell>
          <cell r="K210">
            <v>9.8000000000000007</v>
          </cell>
        </row>
        <row r="211">
          <cell r="A211">
            <v>1120230820</v>
          </cell>
          <cell r="B211" t="str">
            <v>张哲源</v>
          </cell>
          <cell r="C211" t="str">
            <v>能源动力工程</v>
          </cell>
          <cell r="D211" t="str">
            <v>精工2323</v>
          </cell>
          <cell r="E211">
            <v>24.35</v>
          </cell>
          <cell r="F211">
            <v>13</v>
          </cell>
          <cell r="G211">
            <v>1.75</v>
          </cell>
          <cell r="H211">
            <v>2.6</v>
          </cell>
          <cell r="I211">
            <v>5.5</v>
          </cell>
          <cell r="J211">
            <v>8.5</v>
          </cell>
          <cell r="K211">
            <v>6</v>
          </cell>
        </row>
        <row r="212">
          <cell r="A212">
            <v>1120232762</v>
          </cell>
          <cell r="B212" t="str">
            <v>廖方瑛</v>
          </cell>
          <cell r="C212" t="str">
            <v>能源动力工程</v>
          </cell>
          <cell r="D212" t="str">
            <v>精工2325</v>
          </cell>
          <cell r="E212">
            <v>37.450000000000003</v>
          </cell>
          <cell r="F212">
            <v>2</v>
          </cell>
          <cell r="G212">
            <v>2.95</v>
          </cell>
          <cell r="H212">
            <v>3.5</v>
          </cell>
          <cell r="I212">
            <v>13</v>
          </cell>
          <cell r="J212">
            <v>6.7</v>
          </cell>
          <cell r="K212">
            <v>11.3</v>
          </cell>
        </row>
        <row r="213">
          <cell r="A213">
            <v>1120232494</v>
          </cell>
          <cell r="B213" t="str">
            <v>纳旭辉</v>
          </cell>
          <cell r="C213" t="str">
            <v>能源动力工程</v>
          </cell>
          <cell r="D213" t="str">
            <v>精工2325</v>
          </cell>
          <cell r="E213">
            <v>28.5</v>
          </cell>
          <cell r="F213">
            <v>8</v>
          </cell>
          <cell r="G213">
            <v>3.8</v>
          </cell>
          <cell r="H213">
            <v>2</v>
          </cell>
          <cell r="I213">
            <v>9.1</v>
          </cell>
          <cell r="J213">
            <v>6.6</v>
          </cell>
          <cell r="K213">
            <v>7</v>
          </cell>
        </row>
        <row r="214">
          <cell r="A214">
            <v>1120230992</v>
          </cell>
          <cell r="B214" t="str">
            <v>上官文超</v>
          </cell>
          <cell r="C214" t="str">
            <v>能源动力工程</v>
          </cell>
          <cell r="D214" t="str">
            <v>精工2324</v>
          </cell>
          <cell r="E214">
            <v>3.9000000000000004</v>
          </cell>
          <cell r="F214">
            <v>41</v>
          </cell>
          <cell r="G214">
            <v>2.1</v>
          </cell>
          <cell r="H214">
            <v>0</v>
          </cell>
          <cell r="I214">
            <v>0.8</v>
          </cell>
          <cell r="J214">
            <v>1</v>
          </cell>
          <cell r="K214">
            <v>0</v>
          </cell>
        </row>
        <row r="215">
          <cell r="A215">
            <v>1120231419</v>
          </cell>
          <cell r="B215" t="str">
            <v>沈红博</v>
          </cell>
          <cell r="C215" t="str">
            <v>能源动力工程</v>
          </cell>
          <cell r="D215" t="str">
            <v>精工2323</v>
          </cell>
          <cell r="E215">
            <v>26.400000000000002</v>
          </cell>
          <cell r="F215">
            <v>10</v>
          </cell>
          <cell r="G215">
            <v>4.0999999999999996</v>
          </cell>
          <cell r="H215">
            <v>4</v>
          </cell>
          <cell r="I215">
            <v>4.5</v>
          </cell>
          <cell r="J215">
            <v>5.5</v>
          </cell>
          <cell r="K215">
            <v>8.3000000000000007</v>
          </cell>
        </row>
        <row r="216">
          <cell r="A216">
            <v>1120230363</v>
          </cell>
          <cell r="B216" t="str">
            <v>匡锐</v>
          </cell>
          <cell r="C216" t="str">
            <v>能源动力工程</v>
          </cell>
          <cell r="D216" t="str">
            <v>精工2323</v>
          </cell>
          <cell r="E216">
            <v>4.95</v>
          </cell>
          <cell r="F216">
            <v>37</v>
          </cell>
          <cell r="G216">
            <v>2.1</v>
          </cell>
          <cell r="H216">
            <v>0.85</v>
          </cell>
          <cell r="I216">
            <v>1</v>
          </cell>
          <cell r="J216">
            <v>1</v>
          </cell>
          <cell r="K216">
            <v>0</v>
          </cell>
        </row>
        <row r="217">
          <cell r="A217">
            <v>1120232902</v>
          </cell>
          <cell r="B217" t="str">
            <v>袁天泽</v>
          </cell>
          <cell r="C217" t="str">
            <v>能源动力工程</v>
          </cell>
          <cell r="D217" t="str">
            <v>精工2324</v>
          </cell>
          <cell r="E217">
            <v>27.949999999999996</v>
          </cell>
          <cell r="F217">
            <v>9</v>
          </cell>
          <cell r="G217">
            <v>2.65</v>
          </cell>
          <cell r="H217">
            <v>4.3</v>
          </cell>
          <cell r="I217">
            <v>6</v>
          </cell>
          <cell r="J217">
            <v>4.5999999999999996</v>
          </cell>
          <cell r="K217">
            <v>10.4</v>
          </cell>
        </row>
        <row r="218">
          <cell r="A218">
            <v>1120231776</v>
          </cell>
          <cell r="B218" t="str">
            <v>高居宸</v>
          </cell>
          <cell r="C218" t="str">
            <v>能源动力工程</v>
          </cell>
          <cell r="D218" t="str">
            <v>精工2325</v>
          </cell>
          <cell r="E218">
            <v>4.8</v>
          </cell>
          <cell r="F218">
            <v>38</v>
          </cell>
          <cell r="G218">
            <v>1</v>
          </cell>
          <cell r="H218">
            <v>0</v>
          </cell>
          <cell r="I218">
            <v>1</v>
          </cell>
          <cell r="J218">
            <v>1.8</v>
          </cell>
          <cell r="K218">
            <v>1</v>
          </cell>
        </row>
        <row r="219">
          <cell r="A219">
            <v>1120232359</v>
          </cell>
          <cell r="B219" t="str">
            <v>连奕晨</v>
          </cell>
          <cell r="C219" t="str">
            <v>能源动力工程</v>
          </cell>
          <cell r="D219" t="str">
            <v>精工2325</v>
          </cell>
          <cell r="E219">
            <v>18.25</v>
          </cell>
          <cell r="F219">
            <v>16</v>
          </cell>
          <cell r="G219">
            <v>2.2000000000000002</v>
          </cell>
          <cell r="H219">
            <v>1</v>
          </cell>
          <cell r="I219">
            <v>2.35</v>
          </cell>
          <cell r="J219">
            <v>10.199999999999999</v>
          </cell>
          <cell r="K219">
            <v>2.5</v>
          </cell>
        </row>
        <row r="220">
          <cell r="A220">
            <v>1120232044</v>
          </cell>
          <cell r="B220" t="str">
            <v>谭凯阳</v>
          </cell>
          <cell r="C220" t="str">
            <v>能源动力工程</v>
          </cell>
          <cell r="D220" t="str">
            <v>精工2324</v>
          </cell>
          <cell r="E220">
            <v>38.099999999999994</v>
          </cell>
          <cell r="F220">
            <v>1</v>
          </cell>
          <cell r="G220">
            <v>4.5</v>
          </cell>
          <cell r="H220">
            <v>2</v>
          </cell>
          <cell r="I220">
            <v>7.1</v>
          </cell>
          <cell r="J220">
            <v>15.8</v>
          </cell>
          <cell r="K220">
            <v>8.6999999999999993</v>
          </cell>
        </row>
        <row r="221">
          <cell r="A221">
            <v>1120231028</v>
          </cell>
          <cell r="B221" t="str">
            <v>叶佳玮</v>
          </cell>
          <cell r="C221" t="str">
            <v>能源动力工程</v>
          </cell>
          <cell r="D221" t="str">
            <v>精工2323</v>
          </cell>
          <cell r="E221">
            <v>24.599999999999998</v>
          </cell>
          <cell r="F221">
            <v>12</v>
          </cell>
          <cell r="G221">
            <v>2.2999999999999998</v>
          </cell>
          <cell r="H221">
            <v>3.5</v>
          </cell>
          <cell r="I221">
            <v>4.3</v>
          </cell>
          <cell r="J221">
            <v>4.8</v>
          </cell>
          <cell r="K221">
            <v>9.6999999999999993</v>
          </cell>
        </row>
        <row r="222">
          <cell r="A222">
            <v>1120230999</v>
          </cell>
          <cell r="B222" t="str">
            <v>杨宁</v>
          </cell>
          <cell r="C222" t="str">
            <v>能源动力工程</v>
          </cell>
          <cell r="D222" t="str">
            <v>精工2324</v>
          </cell>
          <cell r="E222">
            <v>10.15</v>
          </cell>
          <cell r="F222">
            <v>26</v>
          </cell>
          <cell r="G222">
            <v>0.15</v>
          </cell>
          <cell r="H222">
            <v>4</v>
          </cell>
          <cell r="I222">
            <v>1.8</v>
          </cell>
          <cell r="J222">
            <v>2.2000000000000002</v>
          </cell>
          <cell r="K222">
            <v>2</v>
          </cell>
        </row>
        <row r="223">
          <cell r="A223">
            <v>1120231760</v>
          </cell>
          <cell r="B223" t="str">
            <v>刘谕林</v>
          </cell>
          <cell r="C223" t="str">
            <v>能源动力工程</v>
          </cell>
          <cell r="D223" t="str">
            <v>精工2323</v>
          </cell>
          <cell r="E223">
            <v>20.399999999999999</v>
          </cell>
          <cell r="F223">
            <v>15</v>
          </cell>
          <cell r="G223">
            <v>2.4</v>
          </cell>
          <cell r="H223">
            <v>2.7</v>
          </cell>
          <cell r="I223">
            <v>4.8</v>
          </cell>
          <cell r="J223">
            <v>4.3</v>
          </cell>
          <cell r="K223">
            <v>6.2</v>
          </cell>
        </row>
        <row r="224">
          <cell r="A224">
            <v>1120231759</v>
          </cell>
          <cell r="B224" t="str">
            <v>王天宋</v>
          </cell>
          <cell r="C224" t="str">
            <v>能源动力工程</v>
          </cell>
          <cell r="D224" t="str">
            <v>精工2323</v>
          </cell>
          <cell r="E224">
            <v>10.615</v>
          </cell>
          <cell r="F224">
            <v>24</v>
          </cell>
          <cell r="G224">
            <v>1.5</v>
          </cell>
          <cell r="H224">
            <v>1.615</v>
          </cell>
          <cell r="I224">
            <v>2</v>
          </cell>
          <cell r="J224">
            <v>1</v>
          </cell>
          <cell r="K224">
            <v>4.5</v>
          </cell>
        </row>
        <row r="225">
          <cell r="A225">
            <v>1120232500</v>
          </cell>
          <cell r="B225" t="str">
            <v>何思明</v>
          </cell>
          <cell r="C225" t="str">
            <v>能源动力工程</v>
          </cell>
          <cell r="D225" t="str">
            <v>精工2324</v>
          </cell>
          <cell r="E225">
            <v>13.100000000000001</v>
          </cell>
          <cell r="F225">
            <v>20</v>
          </cell>
          <cell r="G225">
            <v>1.6</v>
          </cell>
          <cell r="H225">
            <v>2.2000000000000002</v>
          </cell>
          <cell r="I225">
            <v>0.7</v>
          </cell>
          <cell r="J225">
            <v>5.9</v>
          </cell>
          <cell r="K225">
            <v>2.7</v>
          </cell>
        </row>
        <row r="226">
          <cell r="A226">
            <v>1120231264</v>
          </cell>
          <cell r="B226" t="str">
            <v>俸杨珂</v>
          </cell>
          <cell r="C226" t="str">
            <v>能源动力工程</v>
          </cell>
          <cell r="D226" t="str">
            <v>精工2325</v>
          </cell>
          <cell r="E226">
            <v>14.35</v>
          </cell>
          <cell r="F226">
            <v>19</v>
          </cell>
          <cell r="G226">
            <v>1.3</v>
          </cell>
          <cell r="H226">
            <v>1</v>
          </cell>
          <cell r="I226">
            <v>2.5499999999999998</v>
          </cell>
          <cell r="J226">
            <v>3.5</v>
          </cell>
          <cell r="K226">
            <v>6</v>
          </cell>
        </row>
        <row r="227">
          <cell r="A227">
            <v>1120232313</v>
          </cell>
          <cell r="B227" t="str">
            <v>王骏玮</v>
          </cell>
          <cell r="C227" t="str">
            <v>能源动力工程</v>
          </cell>
          <cell r="D227" t="str">
            <v>精工2324</v>
          </cell>
          <cell r="E227">
            <v>33.4</v>
          </cell>
          <cell r="F227">
            <v>4</v>
          </cell>
          <cell r="G227">
            <v>3.2</v>
          </cell>
          <cell r="H227">
            <v>2</v>
          </cell>
          <cell r="I227">
            <v>5</v>
          </cell>
          <cell r="J227">
            <v>16.899999999999999</v>
          </cell>
          <cell r="K227">
            <v>6.3</v>
          </cell>
        </row>
        <row r="228">
          <cell r="A228">
            <v>1120231749</v>
          </cell>
          <cell r="B228" t="str">
            <v>王子木</v>
          </cell>
          <cell r="C228" t="str">
            <v>能源动力工程</v>
          </cell>
          <cell r="D228" t="str">
            <v>精工2325</v>
          </cell>
          <cell r="E228">
            <v>6.15</v>
          </cell>
          <cell r="F228">
            <v>35</v>
          </cell>
          <cell r="G228">
            <v>0.35</v>
          </cell>
          <cell r="H228">
            <v>0.4</v>
          </cell>
          <cell r="I228">
            <v>1.5</v>
          </cell>
          <cell r="J228">
            <v>2.7</v>
          </cell>
          <cell r="K228">
            <v>1.2</v>
          </cell>
        </row>
        <row r="229">
          <cell r="A229">
            <v>1120231276</v>
          </cell>
          <cell r="B229" t="str">
            <v>陈玺</v>
          </cell>
          <cell r="C229" t="str">
            <v>能源动力工程</v>
          </cell>
          <cell r="D229" t="str">
            <v>精工2323</v>
          </cell>
          <cell r="E229">
            <v>15.7</v>
          </cell>
          <cell r="F229">
            <v>17</v>
          </cell>
          <cell r="G229">
            <v>2.5</v>
          </cell>
          <cell r="H229">
            <v>1</v>
          </cell>
          <cell r="I229">
            <v>4</v>
          </cell>
          <cell r="J229">
            <v>2</v>
          </cell>
          <cell r="K229">
            <v>6.2</v>
          </cell>
        </row>
        <row r="230">
          <cell r="A230">
            <v>1120231657</v>
          </cell>
          <cell r="B230" t="str">
            <v>宿浩然</v>
          </cell>
          <cell r="C230" t="str">
            <v>能源动力工程</v>
          </cell>
          <cell r="D230" t="str">
            <v>精工2323</v>
          </cell>
          <cell r="E230">
            <v>9.3500000000000014</v>
          </cell>
          <cell r="F230">
            <v>28</v>
          </cell>
          <cell r="G230">
            <v>2.2000000000000002</v>
          </cell>
          <cell r="H230">
            <v>2.6</v>
          </cell>
          <cell r="I230">
            <v>2.75</v>
          </cell>
          <cell r="J230">
            <v>1.8</v>
          </cell>
          <cell r="K230">
            <v>0</v>
          </cell>
        </row>
        <row r="231">
          <cell r="A231">
            <v>1120230827</v>
          </cell>
          <cell r="B231" t="str">
            <v>李泉霖</v>
          </cell>
          <cell r="C231" t="str">
            <v>能源动力工程</v>
          </cell>
          <cell r="D231" t="str">
            <v>精工2323</v>
          </cell>
          <cell r="E231">
            <v>3.35</v>
          </cell>
          <cell r="F231">
            <v>42</v>
          </cell>
          <cell r="G231">
            <v>0.7</v>
          </cell>
          <cell r="H231">
            <v>0.8</v>
          </cell>
          <cell r="I231">
            <v>0</v>
          </cell>
          <cell r="J231">
            <v>0.85</v>
          </cell>
          <cell r="K231">
            <v>1</v>
          </cell>
        </row>
        <row r="232">
          <cell r="A232">
            <v>1120231422</v>
          </cell>
          <cell r="B232" t="str">
            <v>刘泰一</v>
          </cell>
          <cell r="C232" t="str">
            <v>能源动力工程</v>
          </cell>
          <cell r="D232" t="str">
            <v>精工2324</v>
          </cell>
          <cell r="E232">
            <v>34.19</v>
          </cell>
          <cell r="F232">
            <v>3</v>
          </cell>
          <cell r="G232">
            <v>4.5</v>
          </cell>
          <cell r="H232">
            <v>8.0500000000000007</v>
          </cell>
          <cell r="I232">
            <v>8</v>
          </cell>
          <cell r="J232">
            <v>6</v>
          </cell>
          <cell r="K232">
            <v>7.64</v>
          </cell>
        </row>
        <row r="233">
          <cell r="A233">
            <v>1120233022</v>
          </cell>
          <cell r="B233" t="str">
            <v>王一鸣</v>
          </cell>
          <cell r="C233" t="str">
            <v>能源动力工程</v>
          </cell>
          <cell r="D233" t="str">
            <v>精工2325</v>
          </cell>
          <cell r="E233">
            <v>29.8</v>
          </cell>
          <cell r="F233">
            <v>6</v>
          </cell>
          <cell r="G233">
            <v>4.0999999999999996</v>
          </cell>
          <cell r="H233">
            <v>4.5999999999999996</v>
          </cell>
          <cell r="I233">
            <v>5.4</v>
          </cell>
          <cell r="J233">
            <v>6.9</v>
          </cell>
          <cell r="K233">
            <v>8.8000000000000007</v>
          </cell>
        </row>
        <row r="234">
          <cell r="A234">
            <v>1120232289</v>
          </cell>
          <cell r="B234" t="str">
            <v>张航</v>
          </cell>
          <cell r="C234" t="str">
            <v>能源动力工程</v>
          </cell>
          <cell r="D234" t="str">
            <v>精工2324</v>
          </cell>
          <cell r="E234">
            <v>28.8</v>
          </cell>
          <cell r="F234">
            <v>7</v>
          </cell>
          <cell r="G234">
            <v>3</v>
          </cell>
          <cell r="H234">
            <v>4</v>
          </cell>
          <cell r="I234">
            <v>10</v>
          </cell>
          <cell r="J234">
            <v>6.8</v>
          </cell>
          <cell r="K234">
            <v>5</v>
          </cell>
        </row>
        <row r="235">
          <cell r="A235">
            <v>1120231285</v>
          </cell>
          <cell r="B235" t="str">
            <v>吴奇峻</v>
          </cell>
          <cell r="C235" t="str">
            <v>能源动力工程</v>
          </cell>
          <cell r="D235" t="str">
            <v>精工2325</v>
          </cell>
          <cell r="E235">
            <v>-0.5</v>
          </cell>
          <cell r="F235">
            <v>56</v>
          </cell>
          <cell r="G235">
            <v>0</v>
          </cell>
          <cell r="H235">
            <v>-0.5</v>
          </cell>
          <cell r="I235">
            <v>0</v>
          </cell>
          <cell r="J235">
            <v>0</v>
          </cell>
          <cell r="K235">
            <v>0</v>
          </cell>
        </row>
        <row r="236">
          <cell r="A236">
            <v>1120232211</v>
          </cell>
          <cell r="B236" t="str">
            <v>罗丹颖</v>
          </cell>
          <cell r="C236" t="str">
            <v>能源动力工程</v>
          </cell>
          <cell r="D236" t="str">
            <v>精工2324</v>
          </cell>
          <cell r="E236">
            <v>31.85</v>
          </cell>
          <cell r="F236">
            <v>5</v>
          </cell>
          <cell r="G236">
            <v>6.25</v>
          </cell>
          <cell r="H236">
            <v>7.2</v>
          </cell>
          <cell r="I236">
            <v>8.4</v>
          </cell>
          <cell r="J236">
            <v>6.2</v>
          </cell>
          <cell r="K236">
            <v>3.8</v>
          </cell>
        </row>
        <row r="237">
          <cell r="A237">
            <v>1120231764</v>
          </cell>
          <cell r="B237" t="str">
            <v>宋嘉欣</v>
          </cell>
          <cell r="C237" t="str">
            <v>能源动力工程</v>
          </cell>
          <cell r="D237" t="str">
            <v>精工2325</v>
          </cell>
          <cell r="E237">
            <v>15.239999999999998</v>
          </cell>
          <cell r="F237">
            <v>18</v>
          </cell>
          <cell r="G237">
            <v>1.3</v>
          </cell>
          <cell r="H237">
            <v>2.2999999999999998</v>
          </cell>
          <cell r="I237">
            <v>4</v>
          </cell>
          <cell r="J237">
            <v>5.64</v>
          </cell>
          <cell r="K237">
            <v>2</v>
          </cell>
        </row>
        <row r="238">
          <cell r="A238">
            <v>1120231782</v>
          </cell>
          <cell r="B238" t="str">
            <v>左文博</v>
          </cell>
          <cell r="C238" t="str">
            <v>能源动力工程</v>
          </cell>
          <cell r="D238" t="str">
            <v>精工2323</v>
          </cell>
          <cell r="E238">
            <v>-0.2</v>
          </cell>
          <cell r="F238">
            <v>55</v>
          </cell>
          <cell r="G238">
            <v>0.2</v>
          </cell>
          <cell r="H238">
            <v>0</v>
          </cell>
          <cell r="I238">
            <v>0.2</v>
          </cell>
          <cell r="J238">
            <v>-0.8</v>
          </cell>
          <cell r="K238">
            <v>0.2</v>
          </cell>
        </row>
        <row r="239">
          <cell r="A239">
            <v>1120232904</v>
          </cell>
          <cell r="B239" t="str">
            <v>孙林</v>
          </cell>
          <cell r="C239" t="str">
            <v>能源动力工程</v>
          </cell>
          <cell r="D239" t="str">
            <v>精工2324</v>
          </cell>
          <cell r="E239">
            <v>8.5</v>
          </cell>
          <cell r="F239">
            <v>30</v>
          </cell>
          <cell r="G239">
            <v>1</v>
          </cell>
          <cell r="H239">
            <v>2</v>
          </cell>
          <cell r="I239">
            <v>2</v>
          </cell>
          <cell r="J239">
            <v>2.5</v>
          </cell>
          <cell r="K239">
            <v>1</v>
          </cell>
        </row>
        <row r="240">
          <cell r="A240">
            <v>1120231445</v>
          </cell>
          <cell r="B240" t="str">
            <v>徐嘉阳</v>
          </cell>
          <cell r="C240" t="str">
            <v>能源动力工程</v>
          </cell>
          <cell r="D240" t="str">
            <v>精工2324</v>
          </cell>
          <cell r="E240">
            <v>3.3</v>
          </cell>
          <cell r="F240">
            <v>43</v>
          </cell>
          <cell r="G240">
            <v>0</v>
          </cell>
          <cell r="H240">
            <v>0</v>
          </cell>
          <cell r="I240">
            <v>1.5</v>
          </cell>
          <cell r="J240">
            <v>0.9</v>
          </cell>
          <cell r="K240">
            <v>0.9</v>
          </cell>
        </row>
        <row r="241">
          <cell r="A241">
            <v>1120230419</v>
          </cell>
          <cell r="B241" t="str">
            <v>夏子涵</v>
          </cell>
          <cell r="C241" t="str">
            <v>能源动力工程</v>
          </cell>
          <cell r="D241" t="str">
            <v>精工2324</v>
          </cell>
          <cell r="E241">
            <v>22.5</v>
          </cell>
          <cell r="F241">
            <v>14</v>
          </cell>
          <cell r="G241">
            <v>2.2000000000000002</v>
          </cell>
          <cell r="H241">
            <v>2.8</v>
          </cell>
          <cell r="I241">
            <v>3.7</v>
          </cell>
          <cell r="J241">
            <v>4.7</v>
          </cell>
          <cell r="K241">
            <v>9.1</v>
          </cell>
        </row>
        <row r="242">
          <cell r="A242">
            <v>1120232759</v>
          </cell>
          <cell r="B242" t="str">
            <v>赵亘力</v>
          </cell>
          <cell r="C242" t="str">
            <v>能源动力工程</v>
          </cell>
          <cell r="D242" t="str">
            <v>精工2325</v>
          </cell>
          <cell r="E242">
            <v>4.5</v>
          </cell>
          <cell r="F242">
            <v>39</v>
          </cell>
          <cell r="G242">
            <v>2.5</v>
          </cell>
          <cell r="H242">
            <v>-0.1</v>
          </cell>
          <cell r="I242">
            <v>1</v>
          </cell>
          <cell r="J242">
            <v>0.1</v>
          </cell>
          <cell r="K242">
            <v>1</v>
          </cell>
        </row>
        <row r="243">
          <cell r="A243">
            <v>1120232882</v>
          </cell>
          <cell r="B243" t="str">
            <v>方丹骜</v>
          </cell>
          <cell r="C243" t="str">
            <v>能源动力工程</v>
          </cell>
          <cell r="D243" t="str">
            <v>精工2325</v>
          </cell>
          <cell r="E243">
            <v>3.25</v>
          </cell>
          <cell r="F243">
            <v>44</v>
          </cell>
          <cell r="G243">
            <v>1.25</v>
          </cell>
          <cell r="H243">
            <v>0</v>
          </cell>
          <cell r="I243">
            <v>1</v>
          </cell>
          <cell r="J243">
            <v>0</v>
          </cell>
          <cell r="K243">
            <v>1</v>
          </cell>
        </row>
        <row r="244">
          <cell r="A244">
            <v>1120230215</v>
          </cell>
          <cell r="B244" t="str">
            <v>高杨</v>
          </cell>
          <cell r="C244" t="str">
            <v>能源动力工程</v>
          </cell>
          <cell r="D244" t="str">
            <v>精工2323</v>
          </cell>
          <cell r="E244">
            <v>6.2750000000000004</v>
          </cell>
          <cell r="F244">
            <v>34</v>
          </cell>
          <cell r="G244">
            <v>2.7</v>
          </cell>
          <cell r="H244">
            <v>0.77500000000000002</v>
          </cell>
          <cell r="I244">
            <v>1.4</v>
          </cell>
          <cell r="J244">
            <v>0.2</v>
          </cell>
          <cell r="K244">
            <v>1.2</v>
          </cell>
        </row>
        <row r="245">
          <cell r="A245">
            <v>1120233390</v>
          </cell>
          <cell r="B245" t="str">
            <v>苏磊</v>
          </cell>
          <cell r="C245" t="str">
            <v>能源动力工程</v>
          </cell>
          <cell r="D245" t="str">
            <v>精工2323</v>
          </cell>
          <cell r="E245">
            <v>10.399999999999999</v>
          </cell>
          <cell r="F245">
            <v>25</v>
          </cell>
          <cell r="G245">
            <v>2.8</v>
          </cell>
          <cell r="H245">
            <v>2</v>
          </cell>
          <cell r="I245">
            <v>2.2999999999999998</v>
          </cell>
          <cell r="J245">
            <v>2.2999999999999998</v>
          </cell>
          <cell r="K245">
            <v>1</v>
          </cell>
        </row>
        <row r="246">
          <cell r="A246">
            <v>1120231268</v>
          </cell>
          <cell r="B246" t="str">
            <v>覃章</v>
          </cell>
          <cell r="C246" t="str">
            <v>能源动力工程</v>
          </cell>
          <cell r="D246" t="str">
            <v>精工2324</v>
          </cell>
          <cell r="E246">
            <v>11.899999999999999</v>
          </cell>
          <cell r="F246">
            <v>21</v>
          </cell>
          <cell r="G246">
            <v>1.7</v>
          </cell>
          <cell r="H246">
            <v>3</v>
          </cell>
          <cell r="I246">
            <v>3.5</v>
          </cell>
          <cell r="J246">
            <v>1.5</v>
          </cell>
          <cell r="K246">
            <v>2.2000000000000002</v>
          </cell>
        </row>
        <row r="247">
          <cell r="A247">
            <v>1120231427</v>
          </cell>
          <cell r="B247" t="str">
            <v>张驰</v>
          </cell>
          <cell r="C247" t="str">
            <v>能源动力工程</v>
          </cell>
          <cell r="D247" t="str">
            <v>精工2325</v>
          </cell>
          <cell r="E247">
            <v>2.3000000000000003</v>
          </cell>
          <cell r="F247">
            <v>47</v>
          </cell>
          <cell r="G247">
            <v>2.1</v>
          </cell>
          <cell r="H247">
            <v>0.2</v>
          </cell>
          <cell r="I247">
            <v>0</v>
          </cell>
          <cell r="J247">
            <v>0</v>
          </cell>
          <cell r="K247">
            <v>0</v>
          </cell>
        </row>
        <row r="248">
          <cell r="A248">
            <v>1120232520</v>
          </cell>
          <cell r="B248" t="str">
            <v>刘乾男</v>
          </cell>
          <cell r="C248" t="str">
            <v>能源动力工程</v>
          </cell>
          <cell r="D248" t="str">
            <v>精工2325</v>
          </cell>
          <cell r="E248">
            <v>8.6</v>
          </cell>
          <cell r="F248">
            <v>29</v>
          </cell>
          <cell r="G248">
            <v>1.3</v>
          </cell>
          <cell r="H248">
            <v>1.5</v>
          </cell>
          <cell r="I248">
            <v>3.3</v>
          </cell>
          <cell r="J248">
            <v>2.5</v>
          </cell>
          <cell r="K248">
            <v>0</v>
          </cell>
        </row>
        <row r="249">
          <cell r="A249">
            <v>1120232894</v>
          </cell>
          <cell r="B249" t="str">
            <v>游博翔</v>
          </cell>
          <cell r="C249" t="str">
            <v>能源动力工程</v>
          </cell>
          <cell r="D249" t="str">
            <v>精工2324</v>
          </cell>
          <cell r="E249">
            <v>8.1999999999999993</v>
          </cell>
          <cell r="F249">
            <v>31</v>
          </cell>
          <cell r="G249">
            <v>4.2</v>
          </cell>
          <cell r="H249">
            <v>2.5</v>
          </cell>
          <cell r="I249">
            <v>1</v>
          </cell>
          <cell r="J249">
            <v>0.5</v>
          </cell>
          <cell r="K249">
            <v>0</v>
          </cell>
        </row>
        <row r="250">
          <cell r="A250">
            <v>1120230821</v>
          </cell>
          <cell r="B250" t="str">
            <v>潘翔宇</v>
          </cell>
          <cell r="C250" t="str">
            <v>能源动力工程</v>
          </cell>
          <cell r="D250" t="str">
            <v>精工2323</v>
          </cell>
          <cell r="E250">
            <v>11.75</v>
          </cell>
          <cell r="F250">
            <v>22</v>
          </cell>
          <cell r="G250">
            <v>1.4</v>
          </cell>
          <cell r="H250">
            <v>2.35</v>
          </cell>
          <cell r="I250">
            <v>2.5</v>
          </cell>
          <cell r="J250">
            <v>1</v>
          </cell>
          <cell r="K250">
            <v>4.5</v>
          </cell>
        </row>
        <row r="251">
          <cell r="A251">
            <v>1120232485</v>
          </cell>
          <cell r="B251" t="str">
            <v>杨皓博</v>
          </cell>
          <cell r="C251" t="str">
            <v>能源动力工程</v>
          </cell>
          <cell r="D251" t="str">
            <v>精工2324</v>
          </cell>
          <cell r="E251">
            <v>1.5</v>
          </cell>
          <cell r="F251">
            <v>51</v>
          </cell>
          <cell r="G251">
            <v>0</v>
          </cell>
          <cell r="H251">
            <v>0.5</v>
          </cell>
          <cell r="I251">
            <v>0.5</v>
          </cell>
          <cell r="J251">
            <v>-0.5</v>
          </cell>
          <cell r="K251">
            <v>1</v>
          </cell>
        </row>
        <row r="252">
          <cell r="A252">
            <v>1120232879</v>
          </cell>
          <cell r="B252" t="str">
            <v>张傲天</v>
          </cell>
          <cell r="C252" t="str">
            <v>能源动力工程</v>
          </cell>
          <cell r="D252" t="str">
            <v>精工2324</v>
          </cell>
          <cell r="E252">
            <v>5.8</v>
          </cell>
          <cell r="F252">
            <v>36</v>
          </cell>
          <cell r="G252">
            <v>2.5</v>
          </cell>
          <cell r="H252">
            <v>0.5</v>
          </cell>
          <cell r="I252">
            <v>2.8</v>
          </cell>
          <cell r="J252">
            <v>0</v>
          </cell>
          <cell r="K252">
            <v>0</v>
          </cell>
        </row>
        <row r="253">
          <cell r="A253">
            <v>1120232512</v>
          </cell>
          <cell r="B253" t="str">
            <v>熊浩楠</v>
          </cell>
          <cell r="C253" t="str">
            <v>能源动力工程</v>
          </cell>
          <cell r="D253" t="str">
            <v>精工2323</v>
          </cell>
          <cell r="E253">
            <v>2.5</v>
          </cell>
          <cell r="F253">
            <v>45</v>
          </cell>
          <cell r="G253">
            <v>1.2</v>
          </cell>
          <cell r="H253">
            <v>0.3</v>
          </cell>
          <cell r="I253">
            <v>0</v>
          </cell>
          <cell r="J253">
            <v>0</v>
          </cell>
          <cell r="K253">
            <v>1</v>
          </cell>
        </row>
        <row r="254">
          <cell r="A254">
            <v>1120232910</v>
          </cell>
          <cell r="B254" t="str">
            <v>李彦奇</v>
          </cell>
          <cell r="C254" t="str">
            <v>能源动力工程</v>
          </cell>
          <cell r="D254" t="str">
            <v>精工2323</v>
          </cell>
          <cell r="E254">
            <v>11.2</v>
          </cell>
          <cell r="F254">
            <v>23</v>
          </cell>
          <cell r="G254">
            <v>3.7</v>
          </cell>
          <cell r="H254">
            <v>1</v>
          </cell>
          <cell r="I254">
            <v>2</v>
          </cell>
          <cell r="J254">
            <v>2.5</v>
          </cell>
          <cell r="K254">
            <v>2</v>
          </cell>
        </row>
        <row r="255">
          <cell r="A255">
            <v>1120232315</v>
          </cell>
          <cell r="B255" t="str">
            <v>宋宁</v>
          </cell>
          <cell r="C255" t="str">
            <v>能源动力工程</v>
          </cell>
          <cell r="D255" t="str">
            <v>精工2325</v>
          </cell>
          <cell r="E255">
            <v>6.7</v>
          </cell>
          <cell r="F255">
            <v>33</v>
          </cell>
          <cell r="G255">
            <v>2.7</v>
          </cell>
          <cell r="H255">
            <v>1</v>
          </cell>
          <cell r="I255">
            <v>1.5</v>
          </cell>
          <cell r="J255">
            <v>1.5</v>
          </cell>
          <cell r="K255">
            <v>0</v>
          </cell>
        </row>
        <row r="256">
          <cell r="A256">
            <v>1120232305</v>
          </cell>
          <cell r="B256" t="str">
            <v>于东旭</v>
          </cell>
          <cell r="C256" t="str">
            <v>能源动力工程</v>
          </cell>
          <cell r="D256" t="str">
            <v>精工2325</v>
          </cell>
          <cell r="E256">
            <v>4.5</v>
          </cell>
          <cell r="F256">
            <v>39</v>
          </cell>
          <cell r="G256">
            <v>2.5</v>
          </cell>
          <cell r="H256">
            <v>1.5</v>
          </cell>
          <cell r="I256">
            <v>1</v>
          </cell>
          <cell r="J256">
            <v>-1.5</v>
          </cell>
          <cell r="K256">
            <v>1</v>
          </cell>
        </row>
        <row r="257">
          <cell r="A257">
            <v>1120232225</v>
          </cell>
          <cell r="B257" t="str">
            <v>陈鹤升</v>
          </cell>
          <cell r="C257" t="str">
            <v>能源动力工程</v>
          </cell>
          <cell r="D257" t="str">
            <v>精工2324</v>
          </cell>
          <cell r="E257">
            <v>9.8000000000000007</v>
          </cell>
          <cell r="F257">
            <v>27</v>
          </cell>
          <cell r="G257">
            <v>3</v>
          </cell>
          <cell r="H257">
            <v>1.8</v>
          </cell>
          <cell r="I257">
            <v>1</v>
          </cell>
          <cell r="J257">
            <v>2</v>
          </cell>
          <cell r="K257">
            <v>2</v>
          </cell>
        </row>
        <row r="258">
          <cell r="A258">
            <v>1120232220</v>
          </cell>
          <cell r="B258" t="str">
            <v>李定青</v>
          </cell>
          <cell r="C258" t="str">
            <v>能源动力工程</v>
          </cell>
          <cell r="D258" t="str">
            <v>精工2325</v>
          </cell>
          <cell r="E258">
            <v>2.2999999999999998</v>
          </cell>
          <cell r="F258">
            <v>47</v>
          </cell>
          <cell r="G258">
            <v>0.6</v>
          </cell>
          <cell r="H258">
            <v>1.2</v>
          </cell>
          <cell r="I258">
            <v>1</v>
          </cell>
          <cell r="J258">
            <v>-0.5</v>
          </cell>
          <cell r="K258">
            <v>0</v>
          </cell>
        </row>
        <row r="259">
          <cell r="A259">
            <v>1120232213</v>
          </cell>
          <cell r="B259" t="str">
            <v>陈海</v>
          </cell>
          <cell r="C259" t="str">
            <v>能源动力工程</v>
          </cell>
          <cell r="D259" t="str">
            <v>精工2323</v>
          </cell>
          <cell r="E259">
            <v>0.19999999999999996</v>
          </cell>
          <cell r="F259">
            <v>53</v>
          </cell>
          <cell r="G259">
            <v>1.2</v>
          </cell>
          <cell r="H259">
            <v>0</v>
          </cell>
          <cell r="I259">
            <v>0</v>
          </cell>
          <cell r="J259">
            <v>-1</v>
          </cell>
          <cell r="K259">
            <v>0</v>
          </cell>
        </row>
        <row r="260">
          <cell r="A260">
            <v>1120231448</v>
          </cell>
          <cell r="B260" t="str">
            <v>蔡贵林</v>
          </cell>
          <cell r="C260" t="str">
            <v>能源动力工程</v>
          </cell>
          <cell r="D260" t="str">
            <v>精工2324</v>
          </cell>
          <cell r="E260">
            <v>1</v>
          </cell>
          <cell r="F260">
            <v>52</v>
          </cell>
          <cell r="G260">
            <v>1</v>
          </cell>
          <cell r="H260">
            <v>1</v>
          </cell>
          <cell r="I260">
            <v>0</v>
          </cell>
          <cell r="J260">
            <v>-1</v>
          </cell>
          <cell r="K260">
            <v>0</v>
          </cell>
        </row>
        <row r="261">
          <cell r="A261">
            <v>1120230050</v>
          </cell>
          <cell r="B261" t="str">
            <v>严进豪</v>
          </cell>
          <cell r="C261" t="str">
            <v>能源动力工程</v>
          </cell>
          <cell r="D261" t="str">
            <v>精工2323</v>
          </cell>
          <cell r="E261">
            <v>7.35</v>
          </cell>
          <cell r="F261">
            <v>32</v>
          </cell>
          <cell r="G261">
            <v>0</v>
          </cell>
          <cell r="H261">
            <v>0.85</v>
          </cell>
          <cell r="I261">
            <v>1.7</v>
          </cell>
          <cell r="J261">
            <v>3.8</v>
          </cell>
          <cell r="K261">
            <v>1</v>
          </cell>
        </row>
        <row r="262">
          <cell r="A262">
            <v>1120231261</v>
          </cell>
          <cell r="B262" t="str">
            <v>文藏川</v>
          </cell>
          <cell r="C262" t="str">
            <v>能源动力工程</v>
          </cell>
          <cell r="D262" t="str">
            <v>精工2323</v>
          </cell>
          <cell r="E262">
            <v>1.6500000000000001</v>
          </cell>
          <cell r="F262">
            <v>50</v>
          </cell>
          <cell r="G262">
            <v>1.2</v>
          </cell>
          <cell r="H262">
            <v>1</v>
          </cell>
          <cell r="I262">
            <v>0</v>
          </cell>
          <cell r="J262">
            <v>-0.55000000000000004</v>
          </cell>
          <cell r="K262">
            <v>0</v>
          </cell>
        </row>
        <row r="263">
          <cell r="A263">
            <v>1120230991</v>
          </cell>
          <cell r="B263" t="str">
            <v>杨欣</v>
          </cell>
          <cell r="C263" t="str">
            <v>能源动力工程</v>
          </cell>
          <cell r="D263" t="str">
            <v>精工2324</v>
          </cell>
          <cell r="E263">
            <v>0</v>
          </cell>
          <cell r="F263">
            <v>54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4">
          <cell r="A264">
            <v>1120231428</v>
          </cell>
          <cell r="B264" t="str">
            <v>徐雨婷</v>
          </cell>
          <cell r="C264" t="str">
            <v>能源动力工程</v>
          </cell>
          <cell r="D264" t="str">
            <v>精工2324</v>
          </cell>
          <cell r="E264">
            <v>2.2000000000000002</v>
          </cell>
          <cell r="F264">
            <v>49</v>
          </cell>
          <cell r="G264">
            <v>2.7</v>
          </cell>
          <cell r="H264">
            <v>0</v>
          </cell>
          <cell r="I264">
            <v>0</v>
          </cell>
          <cell r="J264">
            <v>-0.5</v>
          </cell>
          <cell r="K264">
            <v>0</v>
          </cell>
        </row>
        <row r="265">
          <cell r="A265">
            <v>1120234014</v>
          </cell>
          <cell r="B265" t="str">
            <v>施宇翔</v>
          </cell>
          <cell r="C265" t="str">
            <v>能源动力工程</v>
          </cell>
          <cell r="D265" t="str">
            <v>精工2325</v>
          </cell>
          <cell r="E265">
            <v>2.35</v>
          </cell>
          <cell r="F265">
            <v>46</v>
          </cell>
          <cell r="G265">
            <v>0.4</v>
          </cell>
          <cell r="H265">
            <v>1.7</v>
          </cell>
          <cell r="I265">
            <v>1.75</v>
          </cell>
          <cell r="J265">
            <v>-1.5</v>
          </cell>
          <cell r="K265">
            <v>0</v>
          </cell>
        </row>
        <row r="266">
          <cell r="A266">
            <v>1120230397</v>
          </cell>
          <cell r="B266" t="str">
            <v>傅斯锐</v>
          </cell>
          <cell r="C266" t="str">
            <v>能源动力工程</v>
          </cell>
          <cell r="D266" t="str">
            <v>精工2323</v>
          </cell>
          <cell r="E266">
            <v>-1</v>
          </cell>
          <cell r="F266">
            <v>57</v>
          </cell>
          <cell r="G266">
            <v>0</v>
          </cell>
          <cell r="H266">
            <v>0</v>
          </cell>
          <cell r="I266">
            <v>0</v>
          </cell>
          <cell r="J266">
            <v>-1</v>
          </cell>
          <cell r="K266">
            <v>0</v>
          </cell>
        </row>
        <row r="267">
          <cell r="A267">
            <v>1120232888</v>
          </cell>
          <cell r="B267" t="str">
            <v>彭翌初</v>
          </cell>
          <cell r="C267" t="str">
            <v>智能制造工程</v>
          </cell>
          <cell r="D267" t="str">
            <v>精工2320</v>
          </cell>
          <cell r="E267">
            <v>74.94</v>
          </cell>
          <cell r="F267">
            <v>1</v>
          </cell>
          <cell r="G267">
            <v>2.4</v>
          </cell>
          <cell r="H267">
            <v>11.8</v>
          </cell>
          <cell r="I267">
            <v>13.4</v>
          </cell>
          <cell r="J267">
            <v>20.9</v>
          </cell>
          <cell r="K267">
            <v>26.44</v>
          </cell>
        </row>
        <row r="268">
          <cell r="A268">
            <v>1120231521</v>
          </cell>
          <cell r="B268" t="str">
            <v>王炳基</v>
          </cell>
          <cell r="C268" t="str">
            <v>智能制造工程</v>
          </cell>
          <cell r="D268" t="str">
            <v>精工2320</v>
          </cell>
          <cell r="E268">
            <v>25.650000000000002</v>
          </cell>
          <cell r="F268">
            <v>7</v>
          </cell>
          <cell r="G268">
            <v>5.5</v>
          </cell>
          <cell r="H268">
            <v>3.45</v>
          </cell>
          <cell r="I268">
            <v>3.5</v>
          </cell>
          <cell r="J268">
            <v>5.9</v>
          </cell>
          <cell r="K268">
            <v>7.3</v>
          </cell>
        </row>
        <row r="269">
          <cell r="A269">
            <v>1120232510</v>
          </cell>
          <cell r="B269" t="str">
            <v>周俊</v>
          </cell>
          <cell r="C269" t="str">
            <v>智能制造工程</v>
          </cell>
          <cell r="D269" t="str">
            <v>精工2320</v>
          </cell>
          <cell r="E269">
            <v>45.800000000000004</v>
          </cell>
          <cell r="F269">
            <v>3</v>
          </cell>
          <cell r="G269">
            <v>3.1</v>
          </cell>
          <cell r="H269">
            <v>4.7</v>
          </cell>
          <cell r="I269">
            <v>8.3000000000000007</v>
          </cell>
          <cell r="J269">
            <v>10.6</v>
          </cell>
          <cell r="K269">
            <v>19.100000000000001</v>
          </cell>
        </row>
        <row r="270">
          <cell r="A270">
            <v>1120232223</v>
          </cell>
          <cell r="B270" t="str">
            <v>张亦弛</v>
          </cell>
          <cell r="C270" t="str">
            <v>智能制造工程</v>
          </cell>
          <cell r="D270" t="str">
            <v>精工2320</v>
          </cell>
          <cell r="E270">
            <v>34.75</v>
          </cell>
          <cell r="F270">
            <v>5</v>
          </cell>
          <cell r="G270">
            <v>3.9</v>
          </cell>
          <cell r="H270">
            <v>6.7</v>
          </cell>
          <cell r="I270">
            <v>5.5</v>
          </cell>
          <cell r="J270">
            <v>8.65</v>
          </cell>
          <cell r="K270">
            <v>10</v>
          </cell>
        </row>
        <row r="271">
          <cell r="A271">
            <v>1120231611</v>
          </cell>
          <cell r="B271" t="str">
            <v>张哲</v>
          </cell>
          <cell r="C271" t="str">
            <v>智能制造工程</v>
          </cell>
          <cell r="D271" t="str">
            <v>精工2320</v>
          </cell>
          <cell r="E271">
            <v>37.4</v>
          </cell>
          <cell r="F271">
            <v>4</v>
          </cell>
          <cell r="G271">
            <v>3.9</v>
          </cell>
          <cell r="H271">
            <v>7</v>
          </cell>
          <cell r="I271">
            <v>4.7</v>
          </cell>
          <cell r="J271">
            <v>14</v>
          </cell>
          <cell r="K271">
            <v>7.8</v>
          </cell>
        </row>
        <row r="272">
          <cell r="A272">
            <v>1120232891</v>
          </cell>
          <cell r="B272" t="str">
            <v>何典聪</v>
          </cell>
          <cell r="C272" t="str">
            <v>智能制造工程</v>
          </cell>
          <cell r="D272" t="str">
            <v>精工2320</v>
          </cell>
          <cell r="E272">
            <v>50.839999999999996</v>
          </cell>
          <cell r="F272">
            <v>2</v>
          </cell>
          <cell r="G272">
            <v>5.8</v>
          </cell>
          <cell r="H272">
            <v>8.1</v>
          </cell>
          <cell r="I272">
            <v>7.7</v>
          </cell>
          <cell r="J272">
            <v>16.3</v>
          </cell>
          <cell r="K272">
            <v>12.94</v>
          </cell>
        </row>
        <row r="273">
          <cell r="A273">
            <v>1120234026</v>
          </cell>
          <cell r="B273" t="str">
            <v>谭仲元</v>
          </cell>
          <cell r="C273" t="str">
            <v>智能制造工程</v>
          </cell>
          <cell r="D273" t="str">
            <v>精工2320</v>
          </cell>
          <cell r="E273">
            <v>19.2</v>
          </cell>
          <cell r="F273">
            <v>11</v>
          </cell>
          <cell r="G273">
            <v>0.8</v>
          </cell>
          <cell r="H273">
            <v>2</v>
          </cell>
          <cell r="I273">
            <v>1.5</v>
          </cell>
          <cell r="J273">
            <v>4.2</v>
          </cell>
          <cell r="K273">
            <v>10.7</v>
          </cell>
        </row>
        <row r="274">
          <cell r="A274">
            <v>1120232883</v>
          </cell>
          <cell r="B274" t="str">
            <v>夏粒峰</v>
          </cell>
          <cell r="C274" t="str">
            <v>智能制造工程</v>
          </cell>
          <cell r="D274" t="str">
            <v>精工2320</v>
          </cell>
          <cell r="E274">
            <v>21</v>
          </cell>
          <cell r="F274">
            <v>9</v>
          </cell>
          <cell r="G274">
            <v>0.5</v>
          </cell>
          <cell r="H274">
            <v>1</v>
          </cell>
          <cell r="I274">
            <v>5.5</v>
          </cell>
          <cell r="J274">
            <v>1</v>
          </cell>
          <cell r="K274">
            <v>13</v>
          </cell>
        </row>
        <row r="275">
          <cell r="A275">
            <v>1120231774</v>
          </cell>
          <cell r="B275" t="str">
            <v>李皝禅</v>
          </cell>
          <cell r="C275" t="str">
            <v>智能制造工程</v>
          </cell>
          <cell r="D275" t="str">
            <v>精工2320</v>
          </cell>
          <cell r="E275">
            <v>19.3</v>
          </cell>
          <cell r="F275">
            <v>10</v>
          </cell>
          <cell r="G275">
            <v>3.6</v>
          </cell>
          <cell r="H275">
            <v>2.5</v>
          </cell>
          <cell r="I275">
            <v>2.9</v>
          </cell>
          <cell r="J275">
            <v>3.5</v>
          </cell>
          <cell r="K275">
            <v>6.8</v>
          </cell>
        </row>
        <row r="276">
          <cell r="A276">
            <v>1120231768</v>
          </cell>
          <cell r="B276" t="str">
            <v>王绍涵</v>
          </cell>
          <cell r="C276" t="str">
            <v>智能制造工程</v>
          </cell>
          <cell r="D276" t="str">
            <v>精工2320</v>
          </cell>
          <cell r="E276">
            <v>11</v>
          </cell>
          <cell r="F276">
            <v>17</v>
          </cell>
          <cell r="G276">
            <v>3.2</v>
          </cell>
          <cell r="H276">
            <v>1.2</v>
          </cell>
          <cell r="I276">
            <v>1.5</v>
          </cell>
          <cell r="J276">
            <v>2.4</v>
          </cell>
          <cell r="K276">
            <v>2.7</v>
          </cell>
        </row>
        <row r="277">
          <cell r="A277">
            <v>1120232906</v>
          </cell>
          <cell r="B277" t="str">
            <v>黄靖雯</v>
          </cell>
          <cell r="C277" t="str">
            <v>智能制造工程</v>
          </cell>
          <cell r="D277" t="str">
            <v>精工2320</v>
          </cell>
          <cell r="E277">
            <v>16.399999999999999</v>
          </cell>
          <cell r="F277">
            <v>12</v>
          </cell>
          <cell r="G277">
            <v>0.45</v>
          </cell>
          <cell r="H277">
            <v>1</v>
          </cell>
          <cell r="I277">
            <v>4.5</v>
          </cell>
          <cell r="J277">
            <v>0.95</v>
          </cell>
          <cell r="K277">
            <v>9.5</v>
          </cell>
        </row>
        <row r="278">
          <cell r="A278">
            <v>1120232198</v>
          </cell>
          <cell r="B278" t="str">
            <v>赵子涵</v>
          </cell>
          <cell r="C278" t="str">
            <v>智能制造工程</v>
          </cell>
          <cell r="D278" t="str">
            <v>精工2320</v>
          </cell>
          <cell r="E278">
            <v>21.949999999999996</v>
          </cell>
          <cell r="F278">
            <v>8</v>
          </cell>
          <cell r="G278">
            <v>2.2000000000000002</v>
          </cell>
          <cell r="H278">
            <v>4.5</v>
          </cell>
          <cell r="I278">
            <v>3.25</v>
          </cell>
          <cell r="J278">
            <v>6.1</v>
          </cell>
          <cell r="K278">
            <v>5.9</v>
          </cell>
        </row>
        <row r="279">
          <cell r="A279">
            <v>1120232898</v>
          </cell>
          <cell r="B279" t="str">
            <v>胡耘璁</v>
          </cell>
          <cell r="C279" t="str">
            <v>智能制造工程</v>
          </cell>
          <cell r="D279" t="str">
            <v>精工2320</v>
          </cell>
          <cell r="E279">
            <v>15.100000000000001</v>
          </cell>
          <cell r="F279">
            <v>14</v>
          </cell>
          <cell r="G279">
            <v>2</v>
          </cell>
          <cell r="H279">
            <v>1.8</v>
          </cell>
          <cell r="I279">
            <v>4</v>
          </cell>
          <cell r="J279">
            <v>2</v>
          </cell>
          <cell r="K279">
            <v>5.3</v>
          </cell>
        </row>
        <row r="280">
          <cell r="A280">
            <v>1120231748</v>
          </cell>
          <cell r="B280" t="str">
            <v>谢尚文</v>
          </cell>
          <cell r="C280" t="str">
            <v>智能制造工程</v>
          </cell>
          <cell r="D280" t="str">
            <v>精工2320</v>
          </cell>
          <cell r="E280">
            <v>33.6</v>
          </cell>
          <cell r="F280">
            <v>6</v>
          </cell>
          <cell r="G280">
            <v>3.9</v>
          </cell>
          <cell r="H280">
            <v>4.5999999999999996</v>
          </cell>
          <cell r="I280">
            <v>6.5</v>
          </cell>
          <cell r="J280">
            <v>15.75</v>
          </cell>
          <cell r="K280">
            <v>2.85</v>
          </cell>
        </row>
        <row r="281">
          <cell r="A281">
            <v>1120231528</v>
          </cell>
          <cell r="B281" t="str">
            <v>叶从盼</v>
          </cell>
          <cell r="C281" t="str">
            <v>智能制造工程</v>
          </cell>
          <cell r="D281" t="str">
            <v>精工2320</v>
          </cell>
          <cell r="E281">
            <v>9.75</v>
          </cell>
          <cell r="F281">
            <v>19</v>
          </cell>
          <cell r="G281">
            <v>1.4</v>
          </cell>
          <cell r="H281">
            <v>2.8</v>
          </cell>
          <cell r="I281">
            <v>1.45</v>
          </cell>
          <cell r="J281">
            <v>0.7</v>
          </cell>
          <cell r="K281">
            <v>3.4</v>
          </cell>
        </row>
        <row r="282">
          <cell r="A282">
            <v>1120232756</v>
          </cell>
          <cell r="B282" t="str">
            <v>钟生宇</v>
          </cell>
          <cell r="C282" t="str">
            <v>智能制造工程</v>
          </cell>
          <cell r="D282" t="str">
            <v>精工2320</v>
          </cell>
          <cell r="E282">
            <v>8.5</v>
          </cell>
          <cell r="F282">
            <v>20</v>
          </cell>
          <cell r="G282">
            <v>0.2</v>
          </cell>
          <cell r="H282">
            <v>0.3</v>
          </cell>
          <cell r="I282">
            <v>1.8</v>
          </cell>
          <cell r="J282">
            <v>1.5</v>
          </cell>
          <cell r="K282">
            <v>4.7</v>
          </cell>
        </row>
        <row r="283">
          <cell r="A283">
            <v>1120232317</v>
          </cell>
          <cell r="B283" t="str">
            <v>杨焱钧</v>
          </cell>
          <cell r="C283" t="str">
            <v>智能制造工程</v>
          </cell>
          <cell r="D283" t="str">
            <v>精工2320</v>
          </cell>
          <cell r="E283">
            <v>7.75</v>
          </cell>
          <cell r="F283">
            <v>22</v>
          </cell>
          <cell r="G283">
            <v>1.6</v>
          </cell>
          <cell r="H283">
            <v>0.7</v>
          </cell>
          <cell r="I283">
            <v>1.5</v>
          </cell>
          <cell r="J283">
            <v>0.45</v>
          </cell>
          <cell r="K283">
            <v>3.5</v>
          </cell>
        </row>
        <row r="284">
          <cell r="A284">
            <v>1120231273</v>
          </cell>
          <cell r="B284" t="str">
            <v>黄子逑</v>
          </cell>
          <cell r="C284" t="str">
            <v>智能制造工程</v>
          </cell>
          <cell r="D284" t="str">
            <v>精工2320</v>
          </cell>
          <cell r="E284">
            <v>-2</v>
          </cell>
          <cell r="F284">
            <v>28</v>
          </cell>
          <cell r="G284">
            <v>0</v>
          </cell>
          <cell r="H284">
            <v>-0.5</v>
          </cell>
          <cell r="I284">
            <v>0</v>
          </cell>
          <cell r="J284">
            <v>-1.5</v>
          </cell>
          <cell r="K284">
            <v>0</v>
          </cell>
        </row>
        <row r="285">
          <cell r="A285">
            <v>1120232053</v>
          </cell>
          <cell r="B285" t="str">
            <v>蒲东峻</v>
          </cell>
          <cell r="C285" t="str">
            <v>智能制造工程</v>
          </cell>
          <cell r="D285" t="str">
            <v>精工2320</v>
          </cell>
          <cell r="E285">
            <v>9.8500000000000014</v>
          </cell>
          <cell r="F285">
            <v>18</v>
          </cell>
          <cell r="G285">
            <v>0.85</v>
          </cell>
          <cell r="H285">
            <v>1</v>
          </cell>
          <cell r="I285">
            <v>0.8</v>
          </cell>
          <cell r="J285">
            <v>1.5</v>
          </cell>
          <cell r="K285">
            <v>5.7</v>
          </cell>
        </row>
        <row r="286">
          <cell r="A286">
            <v>1120230838</v>
          </cell>
          <cell r="B286" t="str">
            <v>时境</v>
          </cell>
          <cell r="C286" t="str">
            <v>智能制造工程</v>
          </cell>
          <cell r="D286" t="str">
            <v>精工2320</v>
          </cell>
          <cell r="E286">
            <v>11.1</v>
          </cell>
          <cell r="F286">
            <v>16</v>
          </cell>
          <cell r="G286">
            <v>5.0999999999999996</v>
          </cell>
          <cell r="H286">
            <v>3.5</v>
          </cell>
          <cell r="I286">
            <v>1</v>
          </cell>
          <cell r="J286">
            <v>-1.5</v>
          </cell>
          <cell r="K286">
            <v>3</v>
          </cell>
        </row>
        <row r="287">
          <cell r="A287">
            <v>1120233419</v>
          </cell>
          <cell r="B287" t="str">
            <v>朱志强</v>
          </cell>
          <cell r="C287" t="str">
            <v>智能制造工程</v>
          </cell>
          <cell r="D287" t="str">
            <v>精工2320</v>
          </cell>
          <cell r="E287">
            <v>8.15</v>
          </cell>
          <cell r="F287">
            <v>21</v>
          </cell>
          <cell r="G287">
            <v>3.55</v>
          </cell>
          <cell r="H287">
            <v>3.1</v>
          </cell>
          <cell r="I287">
            <v>0</v>
          </cell>
          <cell r="J287">
            <v>-1.5</v>
          </cell>
          <cell r="K287">
            <v>3</v>
          </cell>
        </row>
        <row r="288">
          <cell r="A288">
            <v>1120232221</v>
          </cell>
          <cell r="B288" t="str">
            <v>张阳阳</v>
          </cell>
          <cell r="C288" t="str">
            <v>智能制造工程</v>
          </cell>
          <cell r="D288" t="str">
            <v>精工2320</v>
          </cell>
          <cell r="E288">
            <v>1</v>
          </cell>
          <cell r="F288">
            <v>26</v>
          </cell>
          <cell r="G288">
            <v>1</v>
          </cell>
          <cell r="H288">
            <v>1</v>
          </cell>
          <cell r="I288">
            <v>0</v>
          </cell>
          <cell r="J288">
            <v>-1</v>
          </cell>
          <cell r="K288">
            <v>0</v>
          </cell>
        </row>
        <row r="289">
          <cell r="A289">
            <v>1120230334</v>
          </cell>
          <cell r="B289" t="str">
            <v>李沛昕</v>
          </cell>
          <cell r="C289" t="str">
            <v>智能制造工程</v>
          </cell>
          <cell r="D289" t="str">
            <v>精工2320</v>
          </cell>
          <cell r="E289">
            <v>2.2000000000000002</v>
          </cell>
          <cell r="F289">
            <v>24</v>
          </cell>
          <cell r="G289">
            <v>1.2</v>
          </cell>
          <cell r="H289">
            <v>-0.5</v>
          </cell>
          <cell r="I289">
            <v>0</v>
          </cell>
          <cell r="J289">
            <v>-1</v>
          </cell>
          <cell r="K289">
            <v>2.5</v>
          </cell>
        </row>
        <row r="290">
          <cell r="A290">
            <v>1120231779</v>
          </cell>
          <cell r="B290" t="str">
            <v>崔华侨</v>
          </cell>
          <cell r="C290" t="str">
            <v>智能制造工程</v>
          </cell>
          <cell r="D290" t="str">
            <v>精工2320</v>
          </cell>
          <cell r="E290">
            <v>3.3</v>
          </cell>
          <cell r="F290">
            <v>23</v>
          </cell>
          <cell r="G290">
            <v>1.4</v>
          </cell>
          <cell r="H290">
            <v>-1</v>
          </cell>
          <cell r="I290">
            <v>0.5</v>
          </cell>
          <cell r="J290">
            <v>-0.8</v>
          </cell>
          <cell r="K290">
            <v>3.2</v>
          </cell>
        </row>
        <row r="291">
          <cell r="A291">
            <v>1120232511</v>
          </cell>
          <cell r="B291" t="str">
            <v>谭烨</v>
          </cell>
          <cell r="C291" t="str">
            <v>智能制造工程</v>
          </cell>
          <cell r="D291" t="str">
            <v>精工2320</v>
          </cell>
          <cell r="E291">
            <v>16.375</v>
          </cell>
          <cell r="F291">
            <v>13</v>
          </cell>
          <cell r="G291">
            <v>3.0249999999999999</v>
          </cell>
          <cell r="H291">
            <v>3.7</v>
          </cell>
          <cell r="I291">
            <v>3.2</v>
          </cell>
          <cell r="J291">
            <v>1.7</v>
          </cell>
          <cell r="K291">
            <v>4.75</v>
          </cell>
        </row>
        <row r="292">
          <cell r="A292">
            <v>1120231277</v>
          </cell>
          <cell r="B292" t="str">
            <v>黎潍嘉</v>
          </cell>
          <cell r="C292" t="str">
            <v>智能制造工程</v>
          </cell>
          <cell r="D292" t="str">
            <v>精工2320</v>
          </cell>
          <cell r="E292">
            <v>1.0999999999999999</v>
          </cell>
          <cell r="F292">
            <v>25</v>
          </cell>
          <cell r="G292">
            <v>1.2</v>
          </cell>
          <cell r="H292">
            <v>0.2</v>
          </cell>
          <cell r="I292">
            <v>0.3</v>
          </cell>
          <cell r="J292">
            <v>-0.8</v>
          </cell>
          <cell r="K292">
            <v>0.2</v>
          </cell>
        </row>
        <row r="293">
          <cell r="A293">
            <v>1120231442</v>
          </cell>
          <cell r="B293" t="str">
            <v>李冠诚</v>
          </cell>
          <cell r="C293" t="str">
            <v>智能制造工程</v>
          </cell>
          <cell r="D293" t="str">
            <v>精工2320</v>
          </cell>
          <cell r="E293">
            <v>14</v>
          </cell>
          <cell r="F293">
            <v>15</v>
          </cell>
          <cell r="G293">
            <v>7</v>
          </cell>
          <cell r="H293">
            <v>7</v>
          </cell>
          <cell r="I293">
            <v>0</v>
          </cell>
          <cell r="J293">
            <v>0</v>
          </cell>
          <cell r="K293">
            <v>0</v>
          </cell>
        </row>
        <row r="294">
          <cell r="A294">
            <v>1120231011</v>
          </cell>
          <cell r="B294" t="str">
            <v>张珏航</v>
          </cell>
          <cell r="C294" t="str">
            <v>智能制造工程</v>
          </cell>
          <cell r="D294" t="str">
            <v>精工2320</v>
          </cell>
          <cell r="E294">
            <v>-0.8</v>
          </cell>
          <cell r="F294">
            <v>27</v>
          </cell>
          <cell r="G294">
            <v>1.2</v>
          </cell>
          <cell r="H294">
            <v>-0.5</v>
          </cell>
          <cell r="I294">
            <v>0</v>
          </cell>
          <cell r="J294">
            <v>-1.5</v>
          </cell>
          <cell r="K294">
            <v>0</v>
          </cell>
        </row>
        <row r="295">
          <cell r="A295">
            <v>1120231527</v>
          </cell>
          <cell r="B295" t="str">
            <v>张朝鑫</v>
          </cell>
          <cell r="C295" t="str">
            <v>装甲车辆工程</v>
          </cell>
          <cell r="D295" t="str">
            <v>精工2321</v>
          </cell>
          <cell r="E295">
            <v>29.799999999999997</v>
          </cell>
          <cell r="F295">
            <v>11</v>
          </cell>
          <cell r="G295">
            <v>3.5</v>
          </cell>
          <cell r="H295">
            <v>5.6</v>
          </cell>
          <cell r="I295">
            <v>8.1999999999999993</v>
          </cell>
          <cell r="J295">
            <v>4.7</v>
          </cell>
          <cell r="K295">
            <v>7.8</v>
          </cell>
        </row>
        <row r="296">
          <cell r="A296">
            <v>1120232302</v>
          </cell>
          <cell r="B296" t="str">
            <v>周靖凯</v>
          </cell>
          <cell r="C296" t="str">
            <v>装甲车辆工程</v>
          </cell>
          <cell r="D296" t="str">
            <v>精工2322</v>
          </cell>
          <cell r="E296">
            <v>38.200000000000003</v>
          </cell>
          <cell r="F296">
            <v>7</v>
          </cell>
          <cell r="G296">
            <v>2.7</v>
          </cell>
          <cell r="H296">
            <v>7.1</v>
          </cell>
          <cell r="I296">
            <v>8.6999999999999993</v>
          </cell>
          <cell r="J296">
            <v>8.6999999999999993</v>
          </cell>
          <cell r="K296">
            <v>11</v>
          </cell>
        </row>
        <row r="297">
          <cell r="A297">
            <v>1120232227</v>
          </cell>
          <cell r="B297" t="str">
            <v>郑昕黎</v>
          </cell>
          <cell r="C297" t="str">
            <v>装甲车辆工程</v>
          </cell>
          <cell r="D297" t="str">
            <v>精工2322</v>
          </cell>
          <cell r="E297">
            <v>50.900000000000006</v>
          </cell>
          <cell r="F297">
            <v>2</v>
          </cell>
          <cell r="G297">
            <v>3.1</v>
          </cell>
          <cell r="H297">
            <v>15.4</v>
          </cell>
          <cell r="I297">
            <v>10.7</v>
          </cell>
          <cell r="J297">
            <v>10.4</v>
          </cell>
          <cell r="K297">
            <v>11.3</v>
          </cell>
        </row>
        <row r="298">
          <cell r="A298">
            <v>1120231790</v>
          </cell>
          <cell r="B298" t="str">
            <v>郭昊含</v>
          </cell>
          <cell r="C298" t="str">
            <v>装甲车辆工程</v>
          </cell>
          <cell r="D298" t="str">
            <v>精工2322</v>
          </cell>
          <cell r="E298">
            <v>15.5</v>
          </cell>
          <cell r="F298">
            <v>22</v>
          </cell>
          <cell r="G298">
            <v>2.2000000000000002</v>
          </cell>
          <cell r="H298">
            <v>1</v>
          </cell>
          <cell r="I298">
            <v>3.6</v>
          </cell>
          <cell r="J298">
            <v>6.2</v>
          </cell>
          <cell r="K298">
            <v>2.5</v>
          </cell>
        </row>
        <row r="299">
          <cell r="A299">
            <v>1120232905</v>
          </cell>
          <cell r="B299" t="str">
            <v>钟霖奕</v>
          </cell>
          <cell r="C299" t="str">
            <v>装甲车辆工程</v>
          </cell>
          <cell r="D299" t="str">
            <v>精工23</v>
          </cell>
          <cell r="E299">
            <v>26.15</v>
          </cell>
          <cell r="F299">
            <v>14</v>
          </cell>
          <cell r="G299">
            <v>0</v>
          </cell>
          <cell r="H299">
            <v>3.8</v>
          </cell>
          <cell r="I299">
            <v>4.95</v>
          </cell>
          <cell r="J299">
            <v>8.6999999999999993</v>
          </cell>
          <cell r="K299">
            <v>8.6999999999999993</v>
          </cell>
        </row>
        <row r="300">
          <cell r="A300">
            <v>1120231280</v>
          </cell>
          <cell r="B300" t="str">
            <v>刘雨露</v>
          </cell>
          <cell r="C300" t="str">
            <v>装甲车辆工程</v>
          </cell>
          <cell r="D300" t="str">
            <v>精工2321</v>
          </cell>
          <cell r="E300">
            <v>30</v>
          </cell>
          <cell r="F300">
            <v>10</v>
          </cell>
          <cell r="G300">
            <v>2.8</v>
          </cell>
          <cell r="H300">
            <v>6.4</v>
          </cell>
          <cell r="I300">
            <v>7.3</v>
          </cell>
          <cell r="J300">
            <v>5.8</v>
          </cell>
          <cell r="K300">
            <v>7.7</v>
          </cell>
        </row>
        <row r="301">
          <cell r="A301">
            <v>1120231423</v>
          </cell>
          <cell r="B301" t="str">
            <v>赵喜平</v>
          </cell>
          <cell r="C301" t="str">
            <v>装甲车辆工程</v>
          </cell>
          <cell r="D301" t="str">
            <v>精工2321</v>
          </cell>
          <cell r="E301">
            <v>45.879999999999995</v>
          </cell>
          <cell r="F301">
            <v>4</v>
          </cell>
          <cell r="G301">
            <v>3</v>
          </cell>
          <cell r="H301">
            <v>5.94</v>
          </cell>
          <cell r="I301">
            <v>9.6999999999999993</v>
          </cell>
          <cell r="J301">
            <v>14.54</v>
          </cell>
          <cell r="K301">
            <v>12.7</v>
          </cell>
        </row>
        <row r="302">
          <cell r="A302">
            <v>1120232889</v>
          </cell>
          <cell r="B302" t="str">
            <v>方梓轩</v>
          </cell>
          <cell r="C302" t="str">
            <v>装甲车辆工程</v>
          </cell>
          <cell r="D302" t="str">
            <v>精工2322</v>
          </cell>
          <cell r="E302">
            <v>18.7</v>
          </cell>
          <cell r="F302">
            <v>20</v>
          </cell>
          <cell r="G302">
            <v>1.8</v>
          </cell>
          <cell r="H302">
            <v>1.5</v>
          </cell>
          <cell r="I302">
            <v>1</v>
          </cell>
          <cell r="J302">
            <v>8.1999999999999993</v>
          </cell>
          <cell r="K302">
            <v>6.2</v>
          </cell>
        </row>
        <row r="303">
          <cell r="A303">
            <v>1120230741</v>
          </cell>
          <cell r="B303" t="str">
            <v>王宇豪</v>
          </cell>
          <cell r="C303" t="str">
            <v>装甲车辆工程</v>
          </cell>
          <cell r="D303" t="str">
            <v>精工2322</v>
          </cell>
          <cell r="E303">
            <v>57.6</v>
          </cell>
          <cell r="F303">
            <v>1</v>
          </cell>
          <cell r="G303">
            <v>4.7</v>
          </cell>
          <cell r="H303">
            <v>3</v>
          </cell>
          <cell r="I303">
            <v>13.8</v>
          </cell>
          <cell r="J303">
            <v>15.5</v>
          </cell>
          <cell r="K303">
            <v>20.6</v>
          </cell>
        </row>
        <row r="304">
          <cell r="A304">
            <v>1120232226</v>
          </cell>
          <cell r="B304" t="str">
            <v>黄家华</v>
          </cell>
          <cell r="C304" t="str">
            <v>装甲车辆工程</v>
          </cell>
          <cell r="D304" t="str">
            <v>精工2321</v>
          </cell>
          <cell r="E304">
            <v>43.25</v>
          </cell>
          <cell r="F304">
            <v>5</v>
          </cell>
          <cell r="G304">
            <v>2.15</v>
          </cell>
          <cell r="H304">
            <v>7.2</v>
          </cell>
          <cell r="I304">
            <v>21.6</v>
          </cell>
          <cell r="J304">
            <v>12.3</v>
          </cell>
          <cell r="K304">
            <v>0</v>
          </cell>
        </row>
        <row r="305">
          <cell r="A305">
            <v>1120232287</v>
          </cell>
          <cell r="B305" t="str">
            <v>张庭语</v>
          </cell>
          <cell r="C305" t="str">
            <v>装甲车辆工程</v>
          </cell>
          <cell r="D305" t="str">
            <v>精工2321</v>
          </cell>
          <cell r="E305">
            <v>11</v>
          </cell>
          <cell r="F305">
            <v>30</v>
          </cell>
          <cell r="G305">
            <v>3.3</v>
          </cell>
          <cell r="H305">
            <v>2</v>
          </cell>
          <cell r="I305">
            <v>1.3</v>
          </cell>
          <cell r="J305">
            <v>2.5</v>
          </cell>
          <cell r="K305">
            <v>1.9</v>
          </cell>
        </row>
        <row r="306">
          <cell r="A306">
            <v>1120232471</v>
          </cell>
          <cell r="B306" t="str">
            <v>沈晓曦</v>
          </cell>
          <cell r="C306" t="str">
            <v>装甲车辆工程</v>
          </cell>
          <cell r="D306" t="str">
            <v>精工2321</v>
          </cell>
          <cell r="E306">
            <v>20.100000000000001</v>
          </cell>
          <cell r="F306">
            <v>19</v>
          </cell>
          <cell r="G306">
            <v>2.7</v>
          </cell>
          <cell r="H306">
            <v>2.5</v>
          </cell>
          <cell r="I306">
            <v>2.1</v>
          </cell>
          <cell r="J306">
            <v>6</v>
          </cell>
          <cell r="K306">
            <v>6.8</v>
          </cell>
        </row>
        <row r="307">
          <cell r="A307">
            <v>1120232297</v>
          </cell>
          <cell r="B307" t="str">
            <v>赵元熙</v>
          </cell>
          <cell r="C307" t="str">
            <v>装甲车辆工程</v>
          </cell>
          <cell r="D307" t="str">
            <v>精工2322</v>
          </cell>
          <cell r="E307">
            <v>48.34</v>
          </cell>
          <cell r="F307">
            <v>3</v>
          </cell>
          <cell r="G307">
            <v>3</v>
          </cell>
          <cell r="H307">
            <v>7.14</v>
          </cell>
          <cell r="I307">
            <v>12.1</v>
          </cell>
          <cell r="J307">
            <v>7.2</v>
          </cell>
          <cell r="K307">
            <v>18.899999999999999</v>
          </cell>
        </row>
        <row r="308">
          <cell r="A308">
            <v>1120231785</v>
          </cell>
          <cell r="B308" t="str">
            <v>赵丹宁</v>
          </cell>
          <cell r="C308" t="str">
            <v>装甲车辆工程</v>
          </cell>
          <cell r="D308" t="str">
            <v>精工2321</v>
          </cell>
          <cell r="E308">
            <v>25.439999999999998</v>
          </cell>
          <cell r="F308">
            <v>16</v>
          </cell>
          <cell r="G308">
            <v>2.9</v>
          </cell>
          <cell r="H308">
            <v>2</v>
          </cell>
          <cell r="I308">
            <v>5.6</v>
          </cell>
          <cell r="J308">
            <v>6.5</v>
          </cell>
          <cell r="K308">
            <v>8.44</v>
          </cell>
        </row>
        <row r="309">
          <cell r="A309">
            <v>1120233381</v>
          </cell>
          <cell r="B309" t="str">
            <v>肖涵</v>
          </cell>
          <cell r="C309" t="str">
            <v>装甲车辆工程</v>
          </cell>
          <cell r="D309" t="str">
            <v>精工2321</v>
          </cell>
          <cell r="E309">
            <v>38.6</v>
          </cell>
          <cell r="F309">
            <v>6</v>
          </cell>
          <cell r="G309">
            <v>4</v>
          </cell>
          <cell r="H309">
            <v>5.5</v>
          </cell>
          <cell r="I309">
            <v>7</v>
          </cell>
          <cell r="J309">
            <v>9.1999999999999993</v>
          </cell>
          <cell r="K309">
            <v>12.9</v>
          </cell>
        </row>
        <row r="310">
          <cell r="A310">
            <v>1120231441</v>
          </cell>
          <cell r="B310" t="str">
            <v>路博宇</v>
          </cell>
          <cell r="C310" t="str">
            <v>装甲车辆工程</v>
          </cell>
          <cell r="D310" t="str">
            <v>精工2322</v>
          </cell>
          <cell r="E310">
            <v>22.900000000000002</v>
          </cell>
          <cell r="F310">
            <v>17</v>
          </cell>
          <cell r="G310">
            <v>4.4000000000000004</v>
          </cell>
          <cell r="H310">
            <v>4.2</v>
          </cell>
          <cell r="I310">
            <v>4.5</v>
          </cell>
          <cell r="J310">
            <v>6.8</v>
          </cell>
          <cell r="K310">
            <v>3</v>
          </cell>
        </row>
        <row r="311">
          <cell r="A311">
            <v>1120232218</v>
          </cell>
          <cell r="B311" t="str">
            <v>刘念荷</v>
          </cell>
          <cell r="C311" t="str">
            <v>装甲车辆工程</v>
          </cell>
          <cell r="D311" t="str">
            <v>精工2321</v>
          </cell>
          <cell r="E311">
            <v>37</v>
          </cell>
          <cell r="F311">
            <v>8</v>
          </cell>
          <cell r="G311">
            <v>5.0999999999999996</v>
          </cell>
          <cell r="H311">
            <v>4.8499999999999996</v>
          </cell>
          <cell r="I311">
            <v>5.55</v>
          </cell>
          <cell r="J311">
            <v>10.7</v>
          </cell>
          <cell r="K311">
            <v>10.8</v>
          </cell>
        </row>
        <row r="312">
          <cell r="A312">
            <v>1120231279</v>
          </cell>
          <cell r="B312" t="str">
            <v>江博凯</v>
          </cell>
          <cell r="C312" t="str">
            <v>装甲车辆工程</v>
          </cell>
          <cell r="D312" t="str">
            <v>精工2322</v>
          </cell>
          <cell r="E312">
            <v>32.75</v>
          </cell>
          <cell r="F312">
            <v>9</v>
          </cell>
          <cell r="G312">
            <v>1.85</v>
          </cell>
          <cell r="H312">
            <v>4</v>
          </cell>
          <cell r="I312">
            <v>8.8000000000000007</v>
          </cell>
          <cell r="J312">
            <v>8.6</v>
          </cell>
          <cell r="K312">
            <v>9.5</v>
          </cell>
        </row>
        <row r="313">
          <cell r="A313">
            <v>1120232755</v>
          </cell>
          <cell r="B313" t="str">
            <v>曾可嘉</v>
          </cell>
          <cell r="C313" t="str">
            <v>装甲车辆工程</v>
          </cell>
          <cell r="D313" t="str">
            <v>精工2322</v>
          </cell>
          <cell r="E313">
            <v>14</v>
          </cell>
          <cell r="F313">
            <v>26</v>
          </cell>
          <cell r="G313">
            <v>1.1000000000000001</v>
          </cell>
          <cell r="H313">
            <v>2.7</v>
          </cell>
          <cell r="I313">
            <v>3</v>
          </cell>
          <cell r="J313">
            <v>4.7</v>
          </cell>
          <cell r="K313">
            <v>2.5</v>
          </cell>
        </row>
        <row r="314">
          <cell r="A314">
            <v>1120232514</v>
          </cell>
          <cell r="B314" t="str">
            <v>王钢</v>
          </cell>
          <cell r="C314" t="str">
            <v>装甲车辆工程</v>
          </cell>
          <cell r="D314" t="str">
            <v>精工2322</v>
          </cell>
          <cell r="E314">
            <v>6.25</v>
          </cell>
          <cell r="F314">
            <v>38</v>
          </cell>
          <cell r="G314">
            <v>0.45</v>
          </cell>
          <cell r="H314">
            <v>1</v>
          </cell>
          <cell r="I314">
            <v>3.9</v>
          </cell>
          <cell r="J314">
            <v>0.9</v>
          </cell>
          <cell r="K314">
            <v>0</v>
          </cell>
        </row>
        <row r="315">
          <cell r="A315">
            <v>1120232868</v>
          </cell>
          <cell r="B315" t="str">
            <v>周星宇</v>
          </cell>
          <cell r="C315" t="str">
            <v>装甲车辆工程</v>
          </cell>
          <cell r="D315" t="str">
            <v>精工2321</v>
          </cell>
          <cell r="E315">
            <v>1</v>
          </cell>
          <cell r="F315">
            <v>57</v>
          </cell>
          <cell r="G315">
            <v>0</v>
          </cell>
          <cell r="H315">
            <v>0.7</v>
          </cell>
          <cell r="I315">
            <v>0.3</v>
          </cell>
          <cell r="J315">
            <v>0</v>
          </cell>
          <cell r="K315">
            <v>0</v>
          </cell>
        </row>
        <row r="316">
          <cell r="A316">
            <v>1120232318</v>
          </cell>
          <cell r="B316" t="str">
            <v>裴浚博</v>
          </cell>
          <cell r="C316" t="str">
            <v>装甲车辆工程</v>
          </cell>
          <cell r="D316" t="str">
            <v>精工2322</v>
          </cell>
          <cell r="E316">
            <v>27.900000000000002</v>
          </cell>
          <cell r="F316">
            <v>12</v>
          </cell>
          <cell r="G316">
            <v>2.8</v>
          </cell>
          <cell r="H316">
            <v>3</v>
          </cell>
          <cell r="I316">
            <v>7</v>
          </cell>
          <cell r="J316">
            <v>6.4</v>
          </cell>
          <cell r="K316">
            <v>8.6999999999999993</v>
          </cell>
        </row>
        <row r="317">
          <cell r="A317">
            <v>1120231438</v>
          </cell>
          <cell r="B317" t="str">
            <v>白羽彤</v>
          </cell>
          <cell r="C317" t="str">
            <v>装甲车辆工程</v>
          </cell>
          <cell r="D317" t="str">
            <v>精工2321</v>
          </cell>
          <cell r="E317">
            <v>25.85</v>
          </cell>
          <cell r="F317">
            <v>15</v>
          </cell>
          <cell r="G317">
            <v>2.35</v>
          </cell>
          <cell r="H317">
            <v>1.7</v>
          </cell>
          <cell r="I317">
            <v>6.5</v>
          </cell>
          <cell r="J317">
            <v>7.9</v>
          </cell>
          <cell r="K317">
            <v>7.4</v>
          </cell>
        </row>
        <row r="318">
          <cell r="A318">
            <v>1120231773</v>
          </cell>
          <cell r="B318" t="str">
            <v>郭哲</v>
          </cell>
          <cell r="C318" t="str">
            <v>装甲车辆工程</v>
          </cell>
          <cell r="D318" t="str">
            <v>精工2322</v>
          </cell>
          <cell r="E318">
            <v>3.2</v>
          </cell>
          <cell r="F318">
            <v>48</v>
          </cell>
          <cell r="G318">
            <v>1</v>
          </cell>
          <cell r="H318">
            <v>1</v>
          </cell>
          <cell r="I318">
            <v>1</v>
          </cell>
          <cell r="J318">
            <v>0</v>
          </cell>
          <cell r="K318">
            <v>0.2</v>
          </cell>
        </row>
        <row r="319">
          <cell r="A319">
            <v>1120232498</v>
          </cell>
          <cell r="B319" t="str">
            <v>李承泽</v>
          </cell>
          <cell r="C319" t="str">
            <v>装甲车辆工程</v>
          </cell>
          <cell r="D319" t="str">
            <v>精工2321</v>
          </cell>
          <cell r="E319">
            <v>6.05</v>
          </cell>
          <cell r="F319">
            <v>39</v>
          </cell>
          <cell r="G319">
            <v>0.2</v>
          </cell>
          <cell r="H319">
            <v>1.2</v>
          </cell>
          <cell r="I319">
            <v>0.2</v>
          </cell>
          <cell r="J319">
            <v>1.2</v>
          </cell>
          <cell r="K319">
            <v>3.25</v>
          </cell>
        </row>
        <row r="320">
          <cell r="A320">
            <v>1120231639</v>
          </cell>
          <cell r="B320" t="str">
            <v>李思源</v>
          </cell>
          <cell r="C320" t="str">
            <v>装甲车辆工程</v>
          </cell>
          <cell r="D320" t="str">
            <v>精工2321</v>
          </cell>
          <cell r="E320">
            <v>7.1300000000000008</v>
          </cell>
          <cell r="F320">
            <v>36</v>
          </cell>
          <cell r="G320">
            <v>2.2000000000000002</v>
          </cell>
          <cell r="H320">
            <v>2.95</v>
          </cell>
          <cell r="I320">
            <v>1.5</v>
          </cell>
          <cell r="J320">
            <v>0.48</v>
          </cell>
          <cell r="K320">
            <v>0</v>
          </cell>
        </row>
        <row r="321">
          <cell r="A321">
            <v>1120231431</v>
          </cell>
          <cell r="B321" t="str">
            <v>李寅博</v>
          </cell>
          <cell r="C321" t="str">
            <v>装甲车辆工程</v>
          </cell>
          <cell r="D321" t="str">
            <v>精工2321</v>
          </cell>
          <cell r="E321">
            <v>14.540000000000001</v>
          </cell>
          <cell r="F321">
            <v>25</v>
          </cell>
          <cell r="G321">
            <v>2</v>
          </cell>
          <cell r="H321">
            <v>1.5</v>
          </cell>
          <cell r="I321">
            <v>2.8</v>
          </cell>
          <cell r="J321">
            <v>6.34</v>
          </cell>
          <cell r="K321">
            <v>1.9</v>
          </cell>
        </row>
        <row r="322">
          <cell r="A322">
            <v>1120232199</v>
          </cell>
          <cell r="B322" t="str">
            <v>陈伦</v>
          </cell>
          <cell r="C322" t="str">
            <v>装甲车辆工程</v>
          </cell>
          <cell r="D322" t="str">
            <v>精工2322</v>
          </cell>
          <cell r="E322">
            <v>22.374999999999996</v>
          </cell>
          <cell r="F322">
            <v>18</v>
          </cell>
          <cell r="G322">
            <v>3.8</v>
          </cell>
          <cell r="H322">
            <v>2.5249999999999999</v>
          </cell>
          <cell r="I322">
            <v>11.6</v>
          </cell>
          <cell r="J322">
            <v>4.45</v>
          </cell>
          <cell r="K322">
            <v>0</v>
          </cell>
        </row>
        <row r="323">
          <cell r="A323">
            <v>1120232206</v>
          </cell>
          <cell r="B323" t="str">
            <v>刘京灵</v>
          </cell>
          <cell r="C323" t="str">
            <v>装甲车辆工程</v>
          </cell>
          <cell r="D323" t="str">
            <v>精工2321</v>
          </cell>
          <cell r="E323">
            <v>5.7</v>
          </cell>
          <cell r="F323">
            <v>40</v>
          </cell>
          <cell r="G323">
            <v>1.4</v>
          </cell>
          <cell r="H323">
            <v>0.2</v>
          </cell>
          <cell r="I323">
            <v>2.7</v>
          </cell>
          <cell r="J323">
            <v>1.2</v>
          </cell>
          <cell r="K323">
            <v>0.2</v>
          </cell>
        </row>
        <row r="324">
          <cell r="A324">
            <v>1120231012</v>
          </cell>
          <cell r="B324" t="str">
            <v>黄慧轩</v>
          </cell>
          <cell r="C324" t="str">
            <v>装甲车辆工程</v>
          </cell>
          <cell r="D324" t="str">
            <v>精工2322</v>
          </cell>
          <cell r="E324">
            <v>8.9499999999999993</v>
          </cell>
          <cell r="F324">
            <v>34</v>
          </cell>
          <cell r="G324">
            <v>3</v>
          </cell>
          <cell r="H324">
            <v>1.2</v>
          </cell>
          <cell r="I324">
            <v>2.4</v>
          </cell>
          <cell r="J324">
            <v>1.1499999999999999</v>
          </cell>
          <cell r="K324">
            <v>1.2</v>
          </cell>
        </row>
        <row r="325">
          <cell r="A325">
            <v>1120233574</v>
          </cell>
          <cell r="B325" t="str">
            <v>王铄祥</v>
          </cell>
          <cell r="C325" t="str">
            <v>装甲车辆工程</v>
          </cell>
          <cell r="D325" t="str">
            <v>精工2322</v>
          </cell>
          <cell r="E325">
            <v>4.5999999999999996</v>
          </cell>
          <cell r="F325">
            <v>43</v>
          </cell>
          <cell r="G325">
            <v>0.8</v>
          </cell>
          <cell r="H325">
            <v>0</v>
          </cell>
          <cell r="I325">
            <v>0.4</v>
          </cell>
          <cell r="J325">
            <v>1</v>
          </cell>
          <cell r="K325">
            <v>2.4</v>
          </cell>
        </row>
        <row r="326">
          <cell r="A326">
            <v>1120232311</v>
          </cell>
          <cell r="B326" t="str">
            <v>姜润州</v>
          </cell>
          <cell r="C326" t="str">
            <v>装甲车辆工程</v>
          </cell>
          <cell r="D326" t="str">
            <v>精工2322</v>
          </cell>
          <cell r="E326">
            <v>13.9</v>
          </cell>
          <cell r="F326">
            <v>27</v>
          </cell>
          <cell r="G326">
            <v>2.5</v>
          </cell>
          <cell r="H326">
            <v>1</v>
          </cell>
          <cell r="I326">
            <v>6.5</v>
          </cell>
          <cell r="J326">
            <v>2.9</v>
          </cell>
          <cell r="K326">
            <v>1</v>
          </cell>
        </row>
        <row r="327">
          <cell r="A327">
            <v>1120232874</v>
          </cell>
          <cell r="B327" t="str">
            <v>李睿熹</v>
          </cell>
          <cell r="C327" t="str">
            <v>装甲车辆工程</v>
          </cell>
          <cell r="D327" t="str">
            <v>精工2322</v>
          </cell>
          <cell r="E327">
            <v>2.6</v>
          </cell>
          <cell r="F327">
            <v>51</v>
          </cell>
          <cell r="G327">
            <v>0.2</v>
          </cell>
          <cell r="H327">
            <v>1</v>
          </cell>
          <cell r="I327">
            <v>0.5</v>
          </cell>
          <cell r="J327">
            <v>0</v>
          </cell>
          <cell r="K327">
            <v>0.9</v>
          </cell>
        </row>
        <row r="328">
          <cell r="A328">
            <v>1120232513</v>
          </cell>
          <cell r="B328" t="str">
            <v>杨书懿</v>
          </cell>
          <cell r="C328" t="str">
            <v>装甲车辆工程</v>
          </cell>
          <cell r="D328" t="str">
            <v>精工2321</v>
          </cell>
          <cell r="E328">
            <v>11.399999999999999</v>
          </cell>
          <cell r="F328">
            <v>29</v>
          </cell>
          <cell r="G328">
            <v>1.9</v>
          </cell>
          <cell r="H328">
            <v>1.2</v>
          </cell>
          <cell r="I328">
            <v>2</v>
          </cell>
          <cell r="J328">
            <v>5.6</v>
          </cell>
          <cell r="K328">
            <v>0.7</v>
          </cell>
        </row>
        <row r="329">
          <cell r="A329">
            <v>1120230373</v>
          </cell>
          <cell r="B329" t="str">
            <v>龚心然</v>
          </cell>
          <cell r="C329" t="str">
            <v>装甲车辆工程</v>
          </cell>
          <cell r="D329" t="str">
            <v>精工2321</v>
          </cell>
          <cell r="E329">
            <v>2.2999999999999998</v>
          </cell>
          <cell r="F329">
            <v>53</v>
          </cell>
          <cell r="G329">
            <v>1.3</v>
          </cell>
          <cell r="H329">
            <v>1</v>
          </cell>
          <cell r="I329">
            <v>0</v>
          </cell>
          <cell r="J329">
            <v>0</v>
          </cell>
          <cell r="K329">
            <v>0</v>
          </cell>
        </row>
        <row r="330">
          <cell r="A330">
            <v>1120232295</v>
          </cell>
          <cell r="B330" t="str">
            <v>王瑞峰</v>
          </cell>
          <cell r="C330" t="str">
            <v>装甲车辆工程</v>
          </cell>
          <cell r="D330" t="str">
            <v>精工2322</v>
          </cell>
          <cell r="E330">
            <v>2.6</v>
          </cell>
          <cell r="F330">
            <v>51</v>
          </cell>
          <cell r="G330">
            <v>0.6</v>
          </cell>
          <cell r="H330">
            <v>0.2</v>
          </cell>
          <cell r="I330">
            <v>0.8</v>
          </cell>
          <cell r="J330">
            <v>1</v>
          </cell>
          <cell r="K330">
            <v>0</v>
          </cell>
        </row>
        <row r="331">
          <cell r="A331">
            <v>1120232623</v>
          </cell>
          <cell r="B331" t="str">
            <v>张仕喆</v>
          </cell>
          <cell r="C331" t="str">
            <v>装甲车辆工程</v>
          </cell>
          <cell r="D331" t="str">
            <v>精工2322</v>
          </cell>
          <cell r="E331">
            <v>6.8</v>
          </cell>
          <cell r="F331">
            <v>37</v>
          </cell>
          <cell r="G331">
            <v>3</v>
          </cell>
          <cell r="H331">
            <v>1.3</v>
          </cell>
          <cell r="I331">
            <v>1.5</v>
          </cell>
          <cell r="J331">
            <v>0</v>
          </cell>
          <cell r="K331">
            <v>1</v>
          </cell>
        </row>
        <row r="332">
          <cell r="A332">
            <v>1120231769</v>
          </cell>
          <cell r="B332" t="str">
            <v>许山合</v>
          </cell>
          <cell r="C332" t="str">
            <v>装甲车辆工程</v>
          </cell>
          <cell r="D332" t="str">
            <v>精工2321</v>
          </cell>
          <cell r="E332">
            <v>2.9</v>
          </cell>
          <cell r="F332">
            <v>49</v>
          </cell>
          <cell r="G332">
            <v>0.5</v>
          </cell>
          <cell r="H332">
            <v>0.4</v>
          </cell>
          <cell r="I332">
            <v>1.5</v>
          </cell>
          <cell r="J332">
            <v>0.5</v>
          </cell>
          <cell r="K332">
            <v>0</v>
          </cell>
        </row>
        <row r="333">
          <cell r="A333">
            <v>1120232291</v>
          </cell>
          <cell r="B333" t="str">
            <v>杨景涵</v>
          </cell>
          <cell r="C333" t="str">
            <v>装甲车辆工程</v>
          </cell>
          <cell r="D333" t="str">
            <v>精工2321</v>
          </cell>
          <cell r="E333">
            <v>9.8499999999999979</v>
          </cell>
          <cell r="F333">
            <v>33</v>
          </cell>
          <cell r="G333">
            <v>1.9</v>
          </cell>
          <cell r="H333">
            <v>2</v>
          </cell>
          <cell r="I333">
            <v>1.45</v>
          </cell>
          <cell r="J333">
            <v>2.8</v>
          </cell>
          <cell r="K333">
            <v>1.7</v>
          </cell>
        </row>
        <row r="334">
          <cell r="A334">
            <v>1120232624</v>
          </cell>
          <cell r="B334" t="str">
            <v>王晨昊</v>
          </cell>
          <cell r="C334" t="str">
            <v>装甲车辆工程</v>
          </cell>
          <cell r="D334" t="str">
            <v>精工2322</v>
          </cell>
          <cell r="E334">
            <v>27.9</v>
          </cell>
          <cell r="F334">
            <v>12</v>
          </cell>
          <cell r="G334">
            <v>3</v>
          </cell>
          <cell r="H334">
            <v>1</v>
          </cell>
          <cell r="I334">
            <v>4.5</v>
          </cell>
          <cell r="J334">
            <v>15.9</v>
          </cell>
          <cell r="K334">
            <v>3.5</v>
          </cell>
        </row>
        <row r="335">
          <cell r="A335">
            <v>1120231786</v>
          </cell>
          <cell r="B335" t="str">
            <v>余彦德</v>
          </cell>
          <cell r="C335" t="str">
            <v>装甲车辆工程</v>
          </cell>
          <cell r="D335" t="str">
            <v>精工2322</v>
          </cell>
          <cell r="E335">
            <v>16.649999999999999</v>
          </cell>
          <cell r="F335">
            <v>21</v>
          </cell>
          <cell r="G335">
            <v>1.8</v>
          </cell>
          <cell r="H335">
            <v>1.75</v>
          </cell>
          <cell r="I335">
            <v>5.3</v>
          </cell>
          <cell r="J335">
            <v>6.8</v>
          </cell>
          <cell r="K335">
            <v>1</v>
          </cell>
        </row>
        <row r="336">
          <cell r="A336">
            <v>1120231646</v>
          </cell>
          <cell r="B336" t="str">
            <v>栗敬博</v>
          </cell>
          <cell r="C336" t="str">
            <v>装甲车辆工程</v>
          </cell>
          <cell r="D336" t="str">
            <v>精工2322</v>
          </cell>
          <cell r="E336">
            <v>4.3</v>
          </cell>
          <cell r="F336">
            <v>44</v>
          </cell>
          <cell r="G336">
            <v>1.8</v>
          </cell>
          <cell r="H336">
            <v>1</v>
          </cell>
          <cell r="I336">
            <v>0.9</v>
          </cell>
          <cell r="J336">
            <v>0.6</v>
          </cell>
          <cell r="K336">
            <v>0</v>
          </cell>
        </row>
        <row r="337">
          <cell r="A337">
            <v>1120231597</v>
          </cell>
          <cell r="B337" t="str">
            <v>古焯龙</v>
          </cell>
          <cell r="C337" t="str">
            <v>装甲车辆工程</v>
          </cell>
          <cell r="D337" t="str">
            <v>精工2321</v>
          </cell>
          <cell r="E337">
            <v>3.45</v>
          </cell>
          <cell r="F337">
            <v>47</v>
          </cell>
          <cell r="G337">
            <v>0</v>
          </cell>
          <cell r="H337">
            <v>1.45</v>
          </cell>
          <cell r="I337">
            <v>1</v>
          </cell>
          <cell r="J337">
            <v>1</v>
          </cell>
          <cell r="K337">
            <v>0</v>
          </cell>
        </row>
        <row r="338">
          <cell r="A338">
            <v>1120230396</v>
          </cell>
          <cell r="B338" t="str">
            <v>袁磊</v>
          </cell>
          <cell r="C338" t="str">
            <v>装甲车辆工程</v>
          </cell>
          <cell r="D338" t="str">
            <v>精工2321</v>
          </cell>
          <cell r="E338">
            <v>0</v>
          </cell>
          <cell r="F338">
            <v>58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</row>
        <row r="339">
          <cell r="A339">
            <v>1120231519</v>
          </cell>
          <cell r="B339" t="str">
            <v>刘震宇</v>
          </cell>
          <cell r="C339" t="str">
            <v>装甲车辆工程</v>
          </cell>
          <cell r="D339" t="str">
            <v>精工2321</v>
          </cell>
          <cell r="E339">
            <v>4.8</v>
          </cell>
          <cell r="F339">
            <v>42</v>
          </cell>
          <cell r="G339">
            <v>2.5</v>
          </cell>
          <cell r="H339">
            <v>2</v>
          </cell>
          <cell r="I339">
            <v>0.3</v>
          </cell>
          <cell r="J339">
            <v>0</v>
          </cell>
          <cell r="K339">
            <v>0</v>
          </cell>
        </row>
        <row r="340">
          <cell r="A340">
            <v>1120232219</v>
          </cell>
          <cell r="B340" t="str">
            <v>陈智磊</v>
          </cell>
          <cell r="C340" t="str">
            <v>装甲车辆工程</v>
          </cell>
          <cell r="D340" t="str">
            <v>精工2321</v>
          </cell>
          <cell r="E340">
            <v>5.0999999999999996</v>
          </cell>
          <cell r="F340">
            <v>41</v>
          </cell>
          <cell r="G340">
            <v>2.4</v>
          </cell>
          <cell r="H340">
            <v>1.2</v>
          </cell>
          <cell r="I340">
            <v>1.1000000000000001</v>
          </cell>
          <cell r="J340">
            <v>0.2</v>
          </cell>
          <cell r="K340">
            <v>0.2</v>
          </cell>
        </row>
        <row r="341">
          <cell r="A341">
            <v>1120230714</v>
          </cell>
          <cell r="B341" t="str">
            <v>李东伟</v>
          </cell>
          <cell r="C341" t="str">
            <v>装甲车辆工程</v>
          </cell>
          <cell r="D341" t="str">
            <v>精工2322</v>
          </cell>
          <cell r="E341">
            <v>3.5</v>
          </cell>
          <cell r="F341">
            <v>46</v>
          </cell>
          <cell r="G341">
            <v>0.4</v>
          </cell>
          <cell r="H341">
            <v>2.1</v>
          </cell>
          <cell r="I341">
            <v>1.5</v>
          </cell>
          <cell r="J341">
            <v>-0.5</v>
          </cell>
          <cell r="K341">
            <v>0</v>
          </cell>
        </row>
        <row r="342">
          <cell r="A342">
            <v>1120231634</v>
          </cell>
          <cell r="B342" t="str">
            <v>潘逸飞</v>
          </cell>
          <cell r="C342" t="str">
            <v>装甲车辆工程</v>
          </cell>
          <cell r="D342" t="str">
            <v>精工2321</v>
          </cell>
          <cell r="E342">
            <v>3.65</v>
          </cell>
          <cell r="F342">
            <v>45</v>
          </cell>
          <cell r="G342">
            <v>2.4</v>
          </cell>
          <cell r="H342">
            <v>1.25</v>
          </cell>
          <cell r="I342">
            <v>0</v>
          </cell>
          <cell r="J342">
            <v>0</v>
          </cell>
          <cell r="K342">
            <v>0</v>
          </cell>
        </row>
        <row r="343">
          <cell r="A343">
            <v>1120232202</v>
          </cell>
          <cell r="B343" t="str">
            <v>时泽铭</v>
          </cell>
          <cell r="C343" t="str">
            <v>装甲车辆工程</v>
          </cell>
          <cell r="D343" t="str">
            <v>精工2322</v>
          </cell>
          <cell r="E343">
            <v>14.6</v>
          </cell>
          <cell r="F343">
            <v>24</v>
          </cell>
          <cell r="G343">
            <v>2.2999999999999998</v>
          </cell>
          <cell r="H343">
            <v>1</v>
          </cell>
          <cell r="I343">
            <v>6.3</v>
          </cell>
          <cell r="J343">
            <v>5</v>
          </cell>
          <cell r="K343">
            <v>0</v>
          </cell>
        </row>
        <row r="344">
          <cell r="A344">
            <v>1120232319</v>
          </cell>
          <cell r="B344" t="str">
            <v>郭俊奇</v>
          </cell>
          <cell r="C344" t="str">
            <v>装甲车辆工程</v>
          </cell>
          <cell r="D344" t="str">
            <v>精工2321</v>
          </cell>
          <cell r="E344">
            <v>11</v>
          </cell>
          <cell r="F344">
            <v>30</v>
          </cell>
          <cell r="G344">
            <v>0.4</v>
          </cell>
          <cell r="H344">
            <v>0.9</v>
          </cell>
          <cell r="I344">
            <v>1</v>
          </cell>
          <cell r="J344">
            <v>8.1999999999999993</v>
          </cell>
          <cell r="K344">
            <v>0.5</v>
          </cell>
        </row>
        <row r="345">
          <cell r="A345">
            <v>1120232493</v>
          </cell>
          <cell r="B345" t="str">
            <v>陈致君</v>
          </cell>
          <cell r="C345" t="str">
            <v>装甲车辆工程</v>
          </cell>
          <cell r="D345" t="str">
            <v>精工2322</v>
          </cell>
          <cell r="E345">
            <v>15.3</v>
          </cell>
          <cell r="F345">
            <v>23</v>
          </cell>
          <cell r="G345">
            <v>3.8</v>
          </cell>
          <cell r="H345">
            <v>2.5</v>
          </cell>
          <cell r="I345">
            <v>1</v>
          </cell>
          <cell r="J345">
            <v>5</v>
          </cell>
          <cell r="K345">
            <v>3</v>
          </cell>
        </row>
        <row r="346">
          <cell r="A346">
            <v>1120232499</v>
          </cell>
          <cell r="B346" t="str">
            <v>刘畅</v>
          </cell>
          <cell r="C346" t="str">
            <v>装甲车辆工程</v>
          </cell>
          <cell r="D346" t="str">
            <v>精工2322</v>
          </cell>
          <cell r="E346">
            <v>-0.89999999999999991</v>
          </cell>
          <cell r="F346">
            <v>59</v>
          </cell>
          <cell r="G346">
            <v>0.2</v>
          </cell>
          <cell r="H346">
            <v>0.2</v>
          </cell>
          <cell r="I346">
            <v>0.2</v>
          </cell>
          <cell r="J346">
            <v>-1.5</v>
          </cell>
          <cell r="K346">
            <v>0</v>
          </cell>
        </row>
        <row r="347">
          <cell r="A347">
            <v>1120230336</v>
          </cell>
          <cell r="B347" t="str">
            <v>侯煜山</v>
          </cell>
          <cell r="C347" t="str">
            <v>装甲车辆工程</v>
          </cell>
          <cell r="D347" t="str">
            <v>精工2322</v>
          </cell>
          <cell r="E347">
            <v>1.4500000000000002</v>
          </cell>
          <cell r="F347">
            <v>55</v>
          </cell>
          <cell r="G347">
            <v>1.2</v>
          </cell>
          <cell r="H347">
            <v>0.75</v>
          </cell>
          <cell r="I347">
            <v>0.5</v>
          </cell>
          <cell r="J347">
            <v>-1</v>
          </cell>
          <cell r="K347">
            <v>0</v>
          </cell>
        </row>
        <row r="348">
          <cell r="A348">
            <v>1120230441</v>
          </cell>
          <cell r="B348" t="str">
            <v>尹泽明</v>
          </cell>
          <cell r="C348" t="str">
            <v>装甲车辆工程</v>
          </cell>
          <cell r="D348" t="str">
            <v>精工2321</v>
          </cell>
          <cell r="E348">
            <v>1.2</v>
          </cell>
          <cell r="F348">
            <v>56</v>
          </cell>
          <cell r="G348">
            <v>0.75</v>
          </cell>
          <cell r="H348">
            <v>0.45</v>
          </cell>
          <cell r="I348">
            <v>0.5</v>
          </cell>
          <cell r="J348">
            <v>-0.5</v>
          </cell>
          <cell r="K348">
            <v>0</v>
          </cell>
        </row>
        <row r="349">
          <cell r="A349">
            <v>1120232886</v>
          </cell>
          <cell r="B349" t="str">
            <v>李俨霖</v>
          </cell>
          <cell r="C349" t="str">
            <v>装甲车辆工程</v>
          </cell>
          <cell r="D349" t="str">
            <v>精工2321</v>
          </cell>
          <cell r="E349">
            <v>8.5</v>
          </cell>
          <cell r="F349">
            <v>35</v>
          </cell>
          <cell r="G349">
            <v>1.5</v>
          </cell>
          <cell r="H349">
            <v>1</v>
          </cell>
          <cell r="I349">
            <v>2.5</v>
          </cell>
          <cell r="J349">
            <v>1.5</v>
          </cell>
          <cell r="K349">
            <v>2</v>
          </cell>
        </row>
        <row r="350">
          <cell r="A350">
            <v>1120231026</v>
          </cell>
          <cell r="B350" t="str">
            <v>陈丁</v>
          </cell>
          <cell r="C350" t="str">
            <v>装甲车辆工程</v>
          </cell>
          <cell r="D350" t="str">
            <v>精工2322</v>
          </cell>
          <cell r="E350">
            <v>10.700000000000001</v>
          </cell>
          <cell r="F350">
            <v>32</v>
          </cell>
          <cell r="G350">
            <v>3.15</v>
          </cell>
          <cell r="H350">
            <v>1.55</v>
          </cell>
          <cell r="I350">
            <v>1.5</v>
          </cell>
          <cell r="J350">
            <v>1.1000000000000001</v>
          </cell>
          <cell r="K350">
            <v>3.4</v>
          </cell>
        </row>
        <row r="351">
          <cell r="A351">
            <v>1120233388</v>
          </cell>
          <cell r="B351" t="str">
            <v>荀江宏</v>
          </cell>
          <cell r="C351" t="str">
            <v>装甲车辆工程</v>
          </cell>
          <cell r="D351" t="str">
            <v>精工2321</v>
          </cell>
          <cell r="E351">
            <v>12.600000000000001</v>
          </cell>
          <cell r="F351">
            <v>28</v>
          </cell>
          <cell r="G351">
            <v>4.7</v>
          </cell>
          <cell r="H351">
            <v>4.2</v>
          </cell>
          <cell r="I351">
            <v>4.2</v>
          </cell>
          <cell r="J351">
            <v>-0.5</v>
          </cell>
          <cell r="K351">
            <v>0</v>
          </cell>
        </row>
        <row r="352">
          <cell r="A352">
            <v>1120232207</v>
          </cell>
          <cell r="B352" t="str">
            <v>彭祥瑞</v>
          </cell>
          <cell r="C352" t="str">
            <v>装甲车辆工程</v>
          </cell>
          <cell r="D352" t="str">
            <v>精工2322</v>
          </cell>
          <cell r="E352">
            <v>2</v>
          </cell>
          <cell r="F352">
            <v>54</v>
          </cell>
          <cell r="G352">
            <v>0.75</v>
          </cell>
          <cell r="H352">
            <v>0.25</v>
          </cell>
          <cell r="I352">
            <v>1</v>
          </cell>
          <cell r="J352">
            <v>0</v>
          </cell>
          <cell r="K352">
            <v>0</v>
          </cell>
        </row>
        <row r="353">
          <cell r="A353">
            <v>1120233575</v>
          </cell>
          <cell r="B353" t="str">
            <v>李昱辰</v>
          </cell>
          <cell r="C353" t="str">
            <v>装甲车辆工程</v>
          </cell>
          <cell r="D353" t="str">
            <v>精工2322</v>
          </cell>
          <cell r="E353">
            <v>2.9000000000000004</v>
          </cell>
          <cell r="F353">
            <v>49</v>
          </cell>
          <cell r="G353">
            <v>3.2</v>
          </cell>
          <cell r="H353">
            <v>1.2</v>
          </cell>
          <cell r="I353">
            <v>0</v>
          </cell>
          <cell r="J353">
            <v>-1.5</v>
          </cell>
          <cell r="K35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"/>
  <sheetViews>
    <sheetView topLeftCell="A71" workbookViewId="0">
      <selection sqref="A1:XFD1"/>
    </sheetView>
  </sheetViews>
  <sheetFormatPr defaultRowHeight="13.9"/>
  <sheetData>
    <row r="1" spans="1:26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spans="1:26">
      <c r="A2" s="4">
        <v>1</v>
      </c>
      <c r="B2" s="5">
        <v>1120233372</v>
      </c>
      <c r="C2" s="6" t="s">
        <v>26</v>
      </c>
      <c r="D2" s="6" t="str">
        <f>VLOOKUP([1]成绩单!B2,[1]Sheet1!$A:$K,4,0)</f>
        <v>精工2310</v>
      </c>
      <c r="E2" s="5">
        <v>1</v>
      </c>
      <c r="F2" s="7">
        <v>1.0526000000000001E-2</v>
      </c>
      <c r="G2" s="8">
        <v>94.46</v>
      </c>
      <c r="H2" s="5">
        <v>65</v>
      </c>
      <c r="I2" s="9">
        <v>137.5</v>
      </c>
      <c r="J2" s="5">
        <v>0</v>
      </c>
      <c r="K2" s="5">
        <v>0</v>
      </c>
      <c r="L2" s="6" t="s">
        <v>27</v>
      </c>
      <c r="M2" s="6">
        <v>5.6</v>
      </c>
      <c r="N2" s="6">
        <v>9.8000000000000007</v>
      </c>
      <c r="O2" s="6">
        <v>22.6</v>
      </c>
      <c r="P2" s="6">
        <v>15.4</v>
      </c>
      <c r="Q2" s="6">
        <v>30.2</v>
      </c>
      <c r="R2" s="6"/>
      <c r="S2" s="6">
        <f>SUM(M2:Q2)</f>
        <v>83.6</v>
      </c>
      <c r="T2" s="6">
        <f>COUNTIFS($Y:$Y, Y2, $S:$S, "&gt;"&amp;S2) + 1</f>
        <v>1</v>
      </c>
      <c r="U2" s="6">
        <f>0.85*E2+T2*0.15</f>
        <v>1</v>
      </c>
      <c r="V2" s="6">
        <f>100.4-0.4*W2</f>
        <v>100</v>
      </c>
      <c r="W2" s="6">
        <f>COUNTIFS($Y:$Y, Y2, $U:$U, "&lt;"&amp;U2) + 1</f>
        <v>1</v>
      </c>
      <c r="X2" s="5">
        <v>95</v>
      </c>
      <c r="Y2" s="6" t="s">
        <v>28</v>
      </c>
      <c r="Z2" s="10"/>
    </row>
    <row r="3" spans="1:26">
      <c r="A3" s="4">
        <v>2</v>
      </c>
      <c r="B3" s="5">
        <v>1120230331</v>
      </c>
      <c r="C3" s="6" t="s">
        <v>29</v>
      </c>
      <c r="D3" s="6" t="str">
        <f>VLOOKUP([1]成绩单!B3,[1]Sheet1!$A:$K,4,0)</f>
        <v>精工2311</v>
      </c>
      <c r="E3" s="5">
        <v>2</v>
      </c>
      <c r="F3" s="7">
        <v>2.1052999999999999E-2</v>
      </c>
      <c r="G3" s="8">
        <v>93.357900000000001</v>
      </c>
      <c r="H3" s="5">
        <v>64</v>
      </c>
      <c r="I3" s="9">
        <v>135.5</v>
      </c>
      <c r="J3" s="5">
        <v>0</v>
      </c>
      <c r="K3" s="5">
        <v>0</v>
      </c>
      <c r="L3" s="6" t="s">
        <v>27</v>
      </c>
      <c r="M3" s="6">
        <v>3.8</v>
      </c>
      <c r="N3" s="6">
        <v>6.3</v>
      </c>
      <c r="O3" s="6">
        <v>14.3</v>
      </c>
      <c r="P3" s="6">
        <v>22.2</v>
      </c>
      <c r="Q3" s="6">
        <v>18.8</v>
      </c>
      <c r="R3" s="6"/>
      <c r="S3" s="6">
        <f>SUM(M3:Q3)</f>
        <v>65.399999999999991</v>
      </c>
      <c r="T3" s="6">
        <f>COUNTIFS($Y:$Y, Y3, $S:$S, "&gt;"&amp;S3) + 1</f>
        <v>2</v>
      </c>
      <c r="U3" s="6">
        <f>0.85*E3+T3*0.15</f>
        <v>2</v>
      </c>
      <c r="V3" s="6">
        <f>100.4-0.4*W3</f>
        <v>99.600000000000009</v>
      </c>
      <c r="W3" s="6">
        <f>COUNTIFS($Y:$Y, Y3, $U:$U, "&lt;"&amp;U3) + 1</f>
        <v>2</v>
      </c>
      <c r="X3" s="5">
        <v>95</v>
      </c>
      <c r="Y3" s="6" t="s">
        <v>28</v>
      </c>
      <c r="Z3" s="10"/>
    </row>
    <row r="4" spans="1:26">
      <c r="A4" s="4">
        <v>3</v>
      </c>
      <c r="B4" s="5">
        <v>1120232880</v>
      </c>
      <c r="C4" s="6" t="s">
        <v>30</v>
      </c>
      <c r="D4" s="6" t="str">
        <f>VLOOKUP([1]成绩单!B5,[1]Sheet1!$A:$K,4,0)</f>
        <v>精工2311</v>
      </c>
      <c r="E4" s="5">
        <v>4</v>
      </c>
      <c r="F4" s="7">
        <v>4.2104999999999997E-2</v>
      </c>
      <c r="G4" s="8">
        <v>92.791799999999995</v>
      </c>
      <c r="H4" s="5">
        <v>62</v>
      </c>
      <c r="I4" s="9">
        <v>134.5</v>
      </c>
      <c r="J4" s="5">
        <v>0</v>
      </c>
      <c r="K4" s="5">
        <v>0</v>
      </c>
      <c r="L4" s="6" t="s">
        <v>27</v>
      </c>
      <c r="M4" s="6">
        <v>7.8</v>
      </c>
      <c r="N4" s="6">
        <v>2.8</v>
      </c>
      <c r="O4" s="6">
        <v>12.68</v>
      </c>
      <c r="P4" s="6">
        <v>5.9</v>
      </c>
      <c r="Q4" s="6">
        <v>11.8</v>
      </c>
      <c r="R4" s="6"/>
      <c r="S4" s="6">
        <f>SUM(M4:Q4)</f>
        <v>40.980000000000004</v>
      </c>
      <c r="T4" s="6">
        <f>COUNTIFS($Y:$Y, Y4, $S:$S, "&gt;"&amp;S4) + 1</f>
        <v>11</v>
      </c>
      <c r="U4" s="6">
        <f>0.85*E4+T4*0.15</f>
        <v>5.05</v>
      </c>
      <c r="V4" s="6">
        <f>100.4-0.4*W4</f>
        <v>99.2</v>
      </c>
      <c r="W4" s="6">
        <f>COUNTIFS($Y:$Y, Y4, $U:$U, "&lt;"&amp;U4) + 1</f>
        <v>3</v>
      </c>
      <c r="X4" s="5">
        <v>95</v>
      </c>
      <c r="Y4" s="6" t="s">
        <v>28</v>
      </c>
      <c r="Z4" s="10"/>
    </row>
    <row r="5" spans="1:26">
      <c r="A5" s="4">
        <v>4</v>
      </c>
      <c r="B5" s="5">
        <v>1120231019</v>
      </c>
      <c r="C5" s="6" t="s">
        <v>31</v>
      </c>
      <c r="D5" s="6" t="str">
        <f>VLOOKUP([1]成绩单!B6,[1]Sheet1!$A:$K,4,0)</f>
        <v>精工2310</v>
      </c>
      <c r="E5" s="5">
        <v>5</v>
      </c>
      <c r="F5" s="7">
        <v>5.2631999999999998E-2</v>
      </c>
      <c r="G5" s="8">
        <v>92.435000000000002</v>
      </c>
      <c r="H5" s="5">
        <v>64</v>
      </c>
      <c r="I5" s="9">
        <v>138.5</v>
      </c>
      <c r="J5" s="5">
        <v>0</v>
      </c>
      <c r="K5" s="5">
        <v>0</v>
      </c>
      <c r="L5" s="6" t="s">
        <v>27</v>
      </c>
      <c r="M5" s="6">
        <v>1.3</v>
      </c>
      <c r="N5" s="6">
        <v>1.5</v>
      </c>
      <c r="O5" s="6">
        <v>4.5999999999999996</v>
      </c>
      <c r="P5" s="6">
        <v>17</v>
      </c>
      <c r="Q5" s="6">
        <v>18.7</v>
      </c>
      <c r="R5" s="6"/>
      <c r="S5" s="6">
        <f>SUM(M5:Q5)</f>
        <v>43.099999999999994</v>
      </c>
      <c r="T5" s="6">
        <f>COUNTIFS($Y:$Y, Y5, $S:$S, "&gt;"&amp;S5) + 1</f>
        <v>10</v>
      </c>
      <c r="U5" s="6">
        <f>0.85*E5+T5*0.15</f>
        <v>5.75</v>
      </c>
      <c r="V5" s="6">
        <f>100.4-0.4*W5</f>
        <v>98.800000000000011</v>
      </c>
      <c r="W5" s="6">
        <f>COUNTIFS($Y:$Y, Y5, $U:$U, "&lt;"&amp;U5) + 1</f>
        <v>4</v>
      </c>
      <c r="X5" s="5">
        <v>95</v>
      </c>
      <c r="Y5" s="6" t="s">
        <v>28</v>
      </c>
      <c r="Z5" s="10"/>
    </row>
    <row r="6" spans="1:26">
      <c r="A6" s="4">
        <v>5</v>
      </c>
      <c r="B6" s="5">
        <v>1120231642</v>
      </c>
      <c r="C6" s="6" t="s">
        <v>32</v>
      </c>
      <c r="D6" s="6" t="str">
        <f>VLOOKUP([1]成绩单!B7,[1]Sheet1!$A:$K,4,0)</f>
        <v>精工2312</v>
      </c>
      <c r="E6" s="5">
        <v>6</v>
      </c>
      <c r="F6" s="7">
        <v>6.3158000000000006E-2</v>
      </c>
      <c r="G6" s="8">
        <v>91.2744</v>
      </c>
      <c r="H6" s="5">
        <v>66</v>
      </c>
      <c r="I6" s="9">
        <v>138.5</v>
      </c>
      <c r="J6" s="5">
        <v>0</v>
      </c>
      <c r="K6" s="5">
        <v>0</v>
      </c>
      <c r="L6" s="6" t="s">
        <v>27</v>
      </c>
      <c r="M6" s="6">
        <v>3.5</v>
      </c>
      <c r="N6" s="6">
        <v>7.8</v>
      </c>
      <c r="O6" s="6">
        <v>8.5</v>
      </c>
      <c r="P6" s="6">
        <v>7.7</v>
      </c>
      <c r="Q6" s="6">
        <v>4.5999999999999996</v>
      </c>
      <c r="R6" s="6"/>
      <c r="S6" s="6">
        <f>SUM(M6:Q6)</f>
        <v>32.1</v>
      </c>
      <c r="T6" s="6">
        <f>COUNTIFS($Y:$Y, Y6, $S:$S, "&gt;"&amp;S6) + 1</f>
        <v>21</v>
      </c>
      <c r="U6" s="6">
        <f>0.85*E6+T6*0.15</f>
        <v>8.25</v>
      </c>
      <c r="V6" s="6">
        <f>100.4-0.4*W6</f>
        <v>98.4</v>
      </c>
      <c r="W6" s="6">
        <f>COUNTIFS($Y:$Y, Y6, $U:$U, "&lt;"&amp;U6) + 1</f>
        <v>5</v>
      </c>
      <c r="X6" s="5">
        <v>95</v>
      </c>
      <c r="Y6" s="6" t="s">
        <v>28</v>
      </c>
      <c r="Z6" s="10"/>
    </row>
    <row r="7" spans="1:26">
      <c r="A7" s="4">
        <v>6</v>
      </c>
      <c r="B7" s="5">
        <v>1120233376</v>
      </c>
      <c r="C7" s="6" t="s">
        <v>33</v>
      </c>
      <c r="D7" s="6" t="str">
        <f>VLOOKUP([1]成绩单!B4,[1]Sheet1!$A:$K,4,0)</f>
        <v>精工2310</v>
      </c>
      <c r="E7" s="5">
        <v>3</v>
      </c>
      <c r="F7" s="7">
        <v>3.1579000000000003E-2</v>
      </c>
      <c r="G7" s="8">
        <v>93.169600000000003</v>
      </c>
      <c r="H7" s="5">
        <v>65</v>
      </c>
      <c r="I7" s="9">
        <v>141.5</v>
      </c>
      <c r="J7" s="5">
        <v>0</v>
      </c>
      <c r="K7" s="5">
        <v>0</v>
      </c>
      <c r="L7" s="6" t="s">
        <v>27</v>
      </c>
      <c r="M7" s="6">
        <v>2.7</v>
      </c>
      <c r="N7" s="6">
        <v>5.7</v>
      </c>
      <c r="O7" s="6">
        <v>6.9</v>
      </c>
      <c r="P7" s="6">
        <v>0.6</v>
      </c>
      <c r="Q7" s="6">
        <v>0.7</v>
      </c>
      <c r="R7" s="6"/>
      <c r="S7" s="6">
        <f>SUM(M7:Q7)</f>
        <v>16.600000000000001</v>
      </c>
      <c r="T7" s="6">
        <f>COUNTIFS($Y:$Y, Y7, $S:$S, "&gt;"&amp;S7) + 1</f>
        <v>44</v>
      </c>
      <c r="U7" s="6">
        <f>0.85*E7+T7*0.15</f>
        <v>9.1499999999999986</v>
      </c>
      <c r="V7" s="6">
        <f>100.4-0.4*W7</f>
        <v>98</v>
      </c>
      <c r="W7" s="6">
        <f>COUNTIFS($Y:$Y, Y7, $U:$U, "&lt;"&amp;U7) + 1</f>
        <v>6</v>
      </c>
      <c r="X7" s="5">
        <v>95</v>
      </c>
      <c r="Y7" s="6" t="s">
        <v>28</v>
      </c>
      <c r="Z7" s="10"/>
    </row>
    <row r="8" spans="1:26">
      <c r="A8" s="4">
        <v>7</v>
      </c>
      <c r="B8" s="5">
        <v>1120230370</v>
      </c>
      <c r="C8" s="6" t="s">
        <v>34</v>
      </c>
      <c r="D8" s="6" t="str">
        <f>VLOOKUP([1]成绩单!B8,[1]Sheet1!$A:$K,4,0)</f>
        <v>精工2313</v>
      </c>
      <c r="E8" s="5">
        <v>7</v>
      </c>
      <c r="F8" s="7">
        <v>7.3683999999999999E-2</v>
      </c>
      <c r="G8" s="8">
        <v>91.189099999999996</v>
      </c>
      <c r="H8" s="5">
        <v>62</v>
      </c>
      <c r="I8" s="9">
        <v>133.5</v>
      </c>
      <c r="J8" s="5">
        <v>0</v>
      </c>
      <c r="K8" s="5">
        <v>0</v>
      </c>
      <c r="L8" s="6" t="s">
        <v>27</v>
      </c>
      <c r="M8" s="6">
        <v>2.2999999999999998</v>
      </c>
      <c r="N8" s="6">
        <v>6.5</v>
      </c>
      <c r="O8" s="6">
        <v>12</v>
      </c>
      <c r="P8" s="6">
        <v>7.5</v>
      </c>
      <c r="Q8" s="6">
        <v>2.5</v>
      </c>
      <c r="R8" s="6"/>
      <c r="S8" s="6">
        <f>SUM(M8:Q8)</f>
        <v>30.8</v>
      </c>
      <c r="T8" s="6">
        <f>COUNTIFS($Y:$Y, Y8, $S:$S, "&gt;"&amp;S8) + 1</f>
        <v>23</v>
      </c>
      <c r="U8" s="6">
        <f>0.85*E8+T8*0.15</f>
        <v>9.4</v>
      </c>
      <c r="V8" s="6">
        <f>100.4-0.4*W8</f>
        <v>97.600000000000009</v>
      </c>
      <c r="W8" s="6">
        <f>COUNTIFS($Y:$Y, Y8, $U:$U, "&lt;"&amp;U8) + 1</f>
        <v>7</v>
      </c>
      <c r="X8" s="5">
        <v>95</v>
      </c>
      <c r="Y8" s="6" t="s">
        <v>28</v>
      </c>
      <c r="Z8" s="10"/>
    </row>
    <row r="9" spans="1:26">
      <c r="A9" s="4">
        <v>8</v>
      </c>
      <c r="B9" s="5">
        <v>1120230216</v>
      </c>
      <c r="C9" s="6" t="s">
        <v>35</v>
      </c>
      <c r="D9" s="6" t="str">
        <f>VLOOKUP([1]成绩单!B11,[1]Sheet1!$A:$K,4,0)</f>
        <v>精工2311</v>
      </c>
      <c r="E9" s="5">
        <v>10</v>
      </c>
      <c r="F9" s="7">
        <v>0.105263</v>
      </c>
      <c r="G9" s="8">
        <v>90.635499999999993</v>
      </c>
      <c r="H9" s="5">
        <v>63</v>
      </c>
      <c r="I9" s="9">
        <v>136.5</v>
      </c>
      <c r="J9" s="5">
        <v>0</v>
      </c>
      <c r="K9" s="5">
        <v>0</v>
      </c>
      <c r="L9" s="6" t="s">
        <v>27</v>
      </c>
      <c r="M9" s="6">
        <v>5.7</v>
      </c>
      <c r="N9" s="6">
        <v>7.7</v>
      </c>
      <c r="O9" s="6">
        <v>5.9</v>
      </c>
      <c r="P9" s="6">
        <v>5.8</v>
      </c>
      <c r="Q9" s="6">
        <v>6.5</v>
      </c>
      <c r="R9" s="6"/>
      <c r="S9" s="6">
        <f>SUM(M9:Q9)</f>
        <v>31.6</v>
      </c>
      <c r="T9" s="6">
        <f>COUNTIFS($Y:$Y, Y9, $S:$S, "&gt;"&amp;S9) + 1</f>
        <v>22</v>
      </c>
      <c r="U9" s="6">
        <f>0.85*E9+T9*0.15</f>
        <v>11.8</v>
      </c>
      <c r="V9" s="6">
        <f>100.4-0.4*W9</f>
        <v>97.2</v>
      </c>
      <c r="W9" s="6">
        <f>COUNTIFS($Y:$Y, Y9, $U:$U, "&lt;"&amp;U9) + 1</f>
        <v>8</v>
      </c>
      <c r="X9" s="5">
        <v>95</v>
      </c>
      <c r="Y9" s="6" t="s">
        <v>28</v>
      </c>
      <c r="Z9" s="10"/>
    </row>
    <row r="10" spans="1:26">
      <c r="A10" s="4">
        <v>9</v>
      </c>
      <c r="B10" s="5">
        <v>1120232505</v>
      </c>
      <c r="C10" s="6" t="s">
        <v>36</v>
      </c>
      <c r="D10" s="6" t="str">
        <f>VLOOKUP([1]成绩单!B9,[1]Sheet1!$A:$K,4,0)</f>
        <v>精工2311</v>
      </c>
      <c r="E10" s="5">
        <v>8</v>
      </c>
      <c r="F10" s="7">
        <v>8.4210999999999994E-2</v>
      </c>
      <c r="G10" s="8">
        <v>90.87</v>
      </c>
      <c r="H10" s="5">
        <v>64</v>
      </c>
      <c r="I10" s="9">
        <v>138.5</v>
      </c>
      <c r="J10" s="5">
        <v>0</v>
      </c>
      <c r="K10" s="5">
        <v>0</v>
      </c>
      <c r="L10" s="6" t="s">
        <v>27</v>
      </c>
      <c r="M10" s="6">
        <v>1</v>
      </c>
      <c r="N10" s="6">
        <v>3.5</v>
      </c>
      <c r="O10" s="6">
        <v>7.3</v>
      </c>
      <c r="P10" s="6">
        <v>5.6</v>
      </c>
      <c r="Q10" s="6">
        <v>3.9</v>
      </c>
      <c r="R10" s="6"/>
      <c r="S10" s="6">
        <f>SUM(M10:Q10)</f>
        <v>21.299999999999997</v>
      </c>
      <c r="T10" s="6">
        <f>COUNTIFS($Y:$Y, Y10, $S:$S, "&gt;"&amp;S10) + 1</f>
        <v>39</v>
      </c>
      <c r="U10" s="6">
        <f>0.85*E10+T10*0.15</f>
        <v>12.649999999999999</v>
      </c>
      <c r="V10" s="6">
        <f>100.4-0.4*W10</f>
        <v>96.800000000000011</v>
      </c>
      <c r="W10" s="6">
        <f>COUNTIFS($Y:$Y, Y10, $U:$U, "&lt;"&amp;U10) + 1</f>
        <v>9</v>
      </c>
      <c r="X10" s="5">
        <v>95</v>
      </c>
      <c r="Y10" s="6" t="s">
        <v>28</v>
      </c>
      <c r="Z10" s="10"/>
    </row>
    <row r="11" spans="1:26">
      <c r="A11" s="4">
        <v>10</v>
      </c>
      <c r="B11" s="5">
        <v>1120231525</v>
      </c>
      <c r="C11" s="6" t="s">
        <v>37</v>
      </c>
      <c r="D11" s="6" t="str">
        <f>VLOOKUP([1]成绩单!B15,[1]Sheet1!$A:$K,4,0)</f>
        <v>精工2311</v>
      </c>
      <c r="E11" s="5">
        <v>14</v>
      </c>
      <c r="F11" s="7">
        <v>0.147368</v>
      </c>
      <c r="G11" s="8">
        <v>90.044799999999995</v>
      </c>
      <c r="H11" s="5">
        <v>65</v>
      </c>
      <c r="I11" s="9">
        <v>139.5</v>
      </c>
      <c r="J11" s="5">
        <v>0</v>
      </c>
      <c r="K11" s="5">
        <v>0</v>
      </c>
      <c r="L11" s="6" t="s">
        <v>27</v>
      </c>
      <c r="M11" s="6">
        <v>4.0999999999999996</v>
      </c>
      <c r="N11" s="6">
        <v>10.3</v>
      </c>
      <c r="O11" s="6">
        <v>8.8000000000000007</v>
      </c>
      <c r="P11" s="6">
        <v>7</v>
      </c>
      <c r="Q11" s="6">
        <v>22.8</v>
      </c>
      <c r="R11" s="6"/>
      <c r="S11" s="6">
        <f>SUM(M11:Q11)</f>
        <v>53</v>
      </c>
      <c r="T11" s="6">
        <f>COUNTIFS($Y:$Y, Y11, $S:$S, "&gt;"&amp;S11) + 1</f>
        <v>5</v>
      </c>
      <c r="U11" s="6">
        <f>0.85*E11+T11*0.15</f>
        <v>12.65</v>
      </c>
      <c r="V11" s="6">
        <f>100.4-0.4*W11</f>
        <v>96.800000000000011</v>
      </c>
      <c r="W11" s="6">
        <f>COUNTIFS($Y:$Y, Y11, $U:$U, "&lt;"&amp;U11) + 1</f>
        <v>9</v>
      </c>
      <c r="X11" s="5">
        <v>95</v>
      </c>
      <c r="Y11" s="6" t="s">
        <v>28</v>
      </c>
      <c r="Z11" s="10"/>
    </row>
    <row r="12" spans="1:26">
      <c r="A12" s="4">
        <v>11</v>
      </c>
      <c r="B12" s="5">
        <v>1120231293</v>
      </c>
      <c r="C12" s="6" t="s">
        <v>38</v>
      </c>
      <c r="D12" s="6" t="str">
        <f>VLOOKUP([1]成绩单!B10,[1]Sheet1!$A:$K,4,0)</f>
        <v>精工2312</v>
      </c>
      <c r="E12" s="5">
        <v>9</v>
      </c>
      <c r="F12" s="7">
        <v>9.4737000000000002E-2</v>
      </c>
      <c r="G12" s="8">
        <v>90.698899999999995</v>
      </c>
      <c r="H12" s="5">
        <v>62</v>
      </c>
      <c r="I12" s="9">
        <v>134.5</v>
      </c>
      <c r="J12" s="5">
        <v>0</v>
      </c>
      <c r="K12" s="5">
        <v>0</v>
      </c>
      <c r="L12" s="6" t="s">
        <v>27</v>
      </c>
      <c r="M12" s="6">
        <v>2</v>
      </c>
      <c r="N12" s="6">
        <v>2.85</v>
      </c>
      <c r="O12" s="6">
        <v>4.3</v>
      </c>
      <c r="P12" s="6">
        <v>6.6</v>
      </c>
      <c r="Q12" s="6">
        <v>7.5</v>
      </c>
      <c r="R12" s="6"/>
      <c r="S12" s="6">
        <f>SUM(M12:Q12)</f>
        <v>23.25</v>
      </c>
      <c r="T12" s="6">
        <f>COUNTIFS($Y:$Y, Y12, $S:$S, "&gt;"&amp;S12) + 1</f>
        <v>36</v>
      </c>
      <c r="U12" s="6">
        <f>0.85*E12+T12*0.15</f>
        <v>13.049999999999999</v>
      </c>
      <c r="V12" s="6">
        <f>100.4-0.4*W12</f>
        <v>96</v>
      </c>
      <c r="W12" s="6">
        <f>COUNTIFS($Y:$Y, Y12, $U:$U, "&lt;"&amp;U12) + 1</f>
        <v>11</v>
      </c>
      <c r="X12" s="5">
        <v>95</v>
      </c>
      <c r="Y12" s="6" t="s">
        <v>28</v>
      </c>
      <c r="Z12" s="10"/>
    </row>
    <row r="13" spans="1:26">
      <c r="A13" s="4">
        <v>12</v>
      </c>
      <c r="B13" s="5">
        <v>1120231622</v>
      </c>
      <c r="C13" s="6" t="s">
        <v>39</v>
      </c>
      <c r="D13" s="6" t="str">
        <f>VLOOKUP([1]成绩单!B16,[1]Sheet1!$A:$K,4,0)</f>
        <v>精工2310</v>
      </c>
      <c r="E13" s="5">
        <v>15</v>
      </c>
      <c r="F13" s="7">
        <v>0.15789500000000001</v>
      </c>
      <c r="G13" s="8">
        <v>90.041300000000007</v>
      </c>
      <c r="H13" s="5">
        <v>71</v>
      </c>
      <c r="I13" s="9">
        <v>151.5</v>
      </c>
      <c r="J13" s="5">
        <v>0</v>
      </c>
      <c r="K13" s="5">
        <v>0</v>
      </c>
      <c r="L13" s="6" t="s">
        <v>27</v>
      </c>
      <c r="M13" s="6">
        <v>1</v>
      </c>
      <c r="N13" s="6">
        <v>8.9</v>
      </c>
      <c r="O13" s="6">
        <v>12</v>
      </c>
      <c r="P13" s="6">
        <v>12.8</v>
      </c>
      <c r="Q13" s="6">
        <v>13.8</v>
      </c>
      <c r="R13" s="6"/>
      <c r="S13" s="6">
        <f>SUM(M13:Q13)</f>
        <v>48.5</v>
      </c>
      <c r="T13" s="6">
        <f>COUNTIFS($Y:$Y, Y13, $S:$S, "&gt;"&amp;S13) + 1</f>
        <v>7</v>
      </c>
      <c r="U13" s="6">
        <f>0.85*E13+T13*0.15</f>
        <v>13.8</v>
      </c>
      <c r="V13" s="6">
        <f>100.4-0.4*W13</f>
        <v>95.600000000000009</v>
      </c>
      <c r="W13" s="6">
        <f>COUNTIFS($Y:$Y, Y13, $U:$U, "&lt;"&amp;U13) + 1</f>
        <v>12</v>
      </c>
      <c r="X13" s="5">
        <v>95</v>
      </c>
      <c r="Y13" s="6" t="s">
        <v>28</v>
      </c>
      <c r="Z13" s="10"/>
    </row>
    <row r="14" spans="1:26">
      <c r="A14" s="4">
        <v>13</v>
      </c>
      <c r="B14" s="5">
        <v>1120233389</v>
      </c>
      <c r="C14" s="6" t="s">
        <v>40</v>
      </c>
      <c r="D14" s="6" t="str">
        <f>VLOOKUP([1]成绩单!B17,[1]Sheet1!$A:$K,4,0)</f>
        <v>精工2313</v>
      </c>
      <c r="E14" s="5">
        <v>16</v>
      </c>
      <c r="F14" s="7">
        <v>0.16842099999999999</v>
      </c>
      <c r="G14" s="8">
        <v>89.764099999999999</v>
      </c>
      <c r="H14" s="5">
        <v>72</v>
      </c>
      <c r="I14" s="9">
        <v>150.5</v>
      </c>
      <c r="J14" s="5">
        <v>0</v>
      </c>
      <c r="K14" s="5">
        <v>0</v>
      </c>
      <c r="L14" s="6" t="s">
        <v>27</v>
      </c>
      <c r="M14" s="6">
        <v>7</v>
      </c>
      <c r="N14" s="6">
        <v>10.5</v>
      </c>
      <c r="O14" s="6">
        <v>10.3</v>
      </c>
      <c r="P14" s="6">
        <v>15.7</v>
      </c>
      <c r="Q14" s="6">
        <v>10.5</v>
      </c>
      <c r="R14" s="6"/>
      <c r="S14" s="6">
        <f>SUM(M14:Q14)</f>
        <v>54</v>
      </c>
      <c r="T14" s="6">
        <f>COUNTIFS($Y:$Y, Y14, $S:$S, "&gt;"&amp;S14) + 1</f>
        <v>3</v>
      </c>
      <c r="U14" s="6">
        <f>0.85*E14+T14*0.15</f>
        <v>14.049999999999999</v>
      </c>
      <c r="V14" s="6">
        <f>100.4-0.4*W14</f>
        <v>95.2</v>
      </c>
      <c r="W14" s="6">
        <f>COUNTIFS($Y:$Y, Y14, $U:$U, "&lt;"&amp;U14) + 1</f>
        <v>13</v>
      </c>
      <c r="X14" s="5">
        <v>95</v>
      </c>
      <c r="Y14" s="6" t="s">
        <v>28</v>
      </c>
      <c r="Z14" s="10"/>
    </row>
    <row r="15" spans="1:26">
      <c r="A15" s="4">
        <v>14</v>
      </c>
      <c r="B15" s="5">
        <v>1120233251</v>
      </c>
      <c r="C15" s="6" t="s">
        <v>41</v>
      </c>
      <c r="D15" s="6" t="str">
        <f>VLOOKUP([1]成绩单!B14,[1]Sheet1!$A:$K,4,0)</f>
        <v>精工2313</v>
      </c>
      <c r="E15" s="5">
        <v>13</v>
      </c>
      <c r="F15" s="7">
        <v>0.13684199999999999</v>
      </c>
      <c r="G15" s="8">
        <v>90.064099999999996</v>
      </c>
      <c r="H15" s="5">
        <v>65</v>
      </c>
      <c r="I15" s="9">
        <v>140.5</v>
      </c>
      <c r="J15" s="5">
        <v>0</v>
      </c>
      <c r="K15" s="5">
        <v>0</v>
      </c>
      <c r="L15" s="6" t="s">
        <v>27</v>
      </c>
      <c r="M15" s="6">
        <v>0.8</v>
      </c>
      <c r="N15" s="6">
        <v>2</v>
      </c>
      <c r="O15" s="6">
        <v>1.6</v>
      </c>
      <c r="P15" s="6">
        <v>3.6</v>
      </c>
      <c r="Q15" s="6">
        <v>18.05</v>
      </c>
      <c r="R15" s="6"/>
      <c r="S15" s="6">
        <f>SUM(M15:Q15)</f>
        <v>26.05</v>
      </c>
      <c r="T15" s="6">
        <f>COUNTIFS($Y:$Y, Y15, $S:$S, "&gt;"&amp;S15) + 1</f>
        <v>29</v>
      </c>
      <c r="U15" s="6">
        <f>0.85*E15+T15*0.15</f>
        <v>15.399999999999999</v>
      </c>
      <c r="V15" s="6">
        <f>100.4-0.4*W15</f>
        <v>94.800000000000011</v>
      </c>
      <c r="W15" s="6">
        <f>COUNTIFS($Y:$Y, Y15, $U:$U, "&lt;"&amp;U15) + 1</f>
        <v>14</v>
      </c>
      <c r="X15" s="5">
        <v>95</v>
      </c>
      <c r="Y15" s="6" t="s">
        <v>28</v>
      </c>
      <c r="Z15" s="10"/>
    </row>
    <row r="16" spans="1:26">
      <c r="A16" s="4">
        <v>15</v>
      </c>
      <c r="B16" s="5">
        <v>1120230994</v>
      </c>
      <c r="C16" s="6" t="s">
        <v>42</v>
      </c>
      <c r="D16" s="6" t="str">
        <f>VLOOKUP([1]成绩单!B13,[1]Sheet1!$A:$K,4,0)</f>
        <v>精工2313</v>
      </c>
      <c r="E16" s="5">
        <v>12</v>
      </c>
      <c r="F16" s="7">
        <v>0.12631600000000001</v>
      </c>
      <c r="G16" s="8">
        <v>90.201499999999996</v>
      </c>
      <c r="H16" s="5">
        <v>63</v>
      </c>
      <c r="I16" s="9">
        <v>136.5</v>
      </c>
      <c r="J16" s="5">
        <v>0</v>
      </c>
      <c r="K16" s="5">
        <v>0</v>
      </c>
      <c r="L16" s="6" t="s">
        <v>27</v>
      </c>
      <c r="M16" s="6">
        <v>1.9</v>
      </c>
      <c r="N16" s="6">
        <v>3.75</v>
      </c>
      <c r="O16" s="6">
        <v>5.5</v>
      </c>
      <c r="P16" s="6">
        <v>4.0999999999999996</v>
      </c>
      <c r="Q16" s="6">
        <v>2.2000000000000002</v>
      </c>
      <c r="R16" s="6"/>
      <c r="S16" s="6">
        <f>SUM(M16:Q16)</f>
        <v>17.45</v>
      </c>
      <c r="T16" s="6">
        <f>COUNTIFS($Y:$Y, Y16, $S:$S, "&gt;"&amp;S16) + 1</f>
        <v>42</v>
      </c>
      <c r="U16" s="6">
        <f>0.85*E16+T16*0.15</f>
        <v>16.5</v>
      </c>
      <c r="V16" s="6">
        <f>100.4-0.4*W16</f>
        <v>94.4</v>
      </c>
      <c r="W16" s="6">
        <f>COUNTIFS($Y:$Y, Y16, $U:$U, "&lt;"&amp;U16) + 1</f>
        <v>15</v>
      </c>
      <c r="X16" s="5">
        <v>95</v>
      </c>
      <c r="Y16" s="6" t="s">
        <v>28</v>
      </c>
      <c r="Z16" s="10"/>
    </row>
    <row r="17" spans="1:26">
      <c r="A17" s="4">
        <v>16</v>
      </c>
      <c r="B17" s="5">
        <v>1120231016</v>
      </c>
      <c r="C17" s="6" t="s">
        <v>43</v>
      </c>
      <c r="D17" s="6" t="str">
        <f>VLOOKUP([1]成绩单!B20,[1]Sheet1!$A:$K,4,0)</f>
        <v>精工2312</v>
      </c>
      <c r="E17" s="5">
        <v>19</v>
      </c>
      <c r="F17" s="7">
        <v>0.2</v>
      </c>
      <c r="G17" s="8">
        <v>89.539199999999994</v>
      </c>
      <c r="H17" s="5">
        <v>68</v>
      </c>
      <c r="I17" s="9">
        <v>146.5</v>
      </c>
      <c r="J17" s="5">
        <v>0</v>
      </c>
      <c r="K17" s="5">
        <v>0</v>
      </c>
      <c r="L17" s="6" t="s">
        <v>27</v>
      </c>
      <c r="M17" s="6">
        <v>3.85</v>
      </c>
      <c r="N17" s="6">
        <v>7.3</v>
      </c>
      <c r="O17" s="6">
        <v>7.3</v>
      </c>
      <c r="P17" s="6">
        <v>10.9</v>
      </c>
      <c r="Q17" s="6">
        <v>5.8</v>
      </c>
      <c r="R17" s="6"/>
      <c r="S17" s="6">
        <f>SUM(M17:Q17)</f>
        <v>35.15</v>
      </c>
      <c r="T17" s="6">
        <f>COUNTIFS($Y:$Y, Y17, $S:$S, "&gt;"&amp;S17) + 1</f>
        <v>18</v>
      </c>
      <c r="U17" s="6">
        <f>0.85*E17+T17*0.15</f>
        <v>18.849999999999998</v>
      </c>
      <c r="V17" s="6">
        <f>100.4-0.4*W17</f>
        <v>94</v>
      </c>
      <c r="W17" s="6">
        <f>COUNTIFS($Y:$Y, Y17, $U:$U, "&lt;"&amp;U17) + 1</f>
        <v>16</v>
      </c>
      <c r="X17" s="5">
        <v>95</v>
      </c>
      <c r="Y17" s="6" t="s">
        <v>28</v>
      </c>
      <c r="Z17" s="10"/>
    </row>
    <row r="18" spans="1:26">
      <c r="A18" s="4">
        <v>17</v>
      </c>
      <c r="B18" s="5">
        <v>1120232293</v>
      </c>
      <c r="C18" s="6" t="s">
        <v>44</v>
      </c>
      <c r="D18" s="6" t="str">
        <f>VLOOKUP([1]成绩单!B12,[1]Sheet1!$A:$K,4,0)</f>
        <v>精工2312</v>
      </c>
      <c r="E18" s="5">
        <v>11</v>
      </c>
      <c r="F18" s="7">
        <v>0.115789</v>
      </c>
      <c r="G18" s="8">
        <v>90.294300000000007</v>
      </c>
      <c r="H18" s="5">
        <v>61</v>
      </c>
      <c r="I18" s="9">
        <v>132.5</v>
      </c>
      <c r="J18" s="5">
        <v>0</v>
      </c>
      <c r="K18" s="5">
        <v>0</v>
      </c>
      <c r="L18" s="6" t="s">
        <v>27</v>
      </c>
      <c r="M18" s="6">
        <v>1.5</v>
      </c>
      <c r="N18" s="6">
        <v>2</v>
      </c>
      <c r="O18" s="6">
        <v>2</v>
      </c>
      <c r="P18" s="6">
        <v>2</v>
      </c>
      <c r="Q18" s="6">
        <v>1.5</v>
      </c>
      <c r="R18" s="6"/>
      <c r="S18" s="6">
        <f>SUM(M18:Q18)</f>
        <v>9</v>
      </c>
      <c r="T18" s="6">
        <f>COUNTIFS($Y:$Y, Y18, $S:$S, "&gt;"&amp;S18) + 1</f>
        <v>69</v>
      </c>
      <c r="U18" s="6">
        <f>0.85*E18+T18*0.15</f>
        <v>19.7</v>
      </c>
      <c r="V18" s="6">
        <f>100.4-0.4*W18</f>
        <v>93.600000000000009</v>
      </c>
      <c r="W18" s="6">
        <f>COUNTIFS($Y:$Y, Y18, $U:$U, "&lt;"&amp;U18) + 1</f>
        <v>17</v>
      </c>
      <c r="X18" s="5">
        <v>95</v>
      </c>
      <c r="Y18" s="6" t="s">
        <v>28</v>
      </c>
      <c r="Z18" s="10"/>
    </row>
    <row r="19" spans="1:26">
      <c r="A19" s="4">
        <v>18</v>
      </c>
      <c r="B19" s="5">
        <v>1120230828</v>
      </c>
      <c r="C19" s="6" t="s">
        <v>45</v>
      </c>
      <c r="D19" s="6" t="str">
        <f>VLOOKUP([1]成绩单!B18,[1]Sheet1!$A:$K,4,0)</f>
        <v>精工2311</v>
      </c>
      <c r="E19" s="5">
        <v>17</v>
      </c>
      <c r="F19" s="7">
        <v>0.17894699999999999</v>
      </c>
      <c r="G19" s="8">
        <v>89.7637</v>
      </c>
      <c r="H19" s="5">
        <v>63</v>
      </c>
      <c r="I19" s="9">
        <v>136.5</v>
      </c>
      <c r="J19" s="5">
        <v>0</v>
      </c>
      <c r="K19" s="5">
        <v>0</v>
      </c>
      <c r="L19" s="6" t="s">
        <v>27</v>
      </c>
      <c r="M19" s="6">
        <v>2.65</v>
      </c>
      <c r="N19" s="6">
        <v>3</v>
      </c>
      <c r="O19" s="6">
        <v>2.2999999999999998</v>
      </c>
      <c r="P19" s="6">
        <v>3.8</v>
      </c>
      <c r="Q19" s="6">
        <v>6.3</v>
      </c>
      <c r="R19" s="6"/>
      <c r="S19" s="6">
        <f>SUM(M19:Q19)</f>
        <v>18.05</v>
      </c>
      <c r="T19" s="6">
        <f>COUNTIFS($Y:$Y, Y19, $S:$S, "&gt;"&amp;S19) + 1</f>
        <v>41</v>
      </c>
      <c r="U19" s="6">
        <f>0.85*E19+T19*0.15</f>
        <v>20.599999999999998</v>
      </c>
      <c r="V19" s="6">
        <f>100.4-0.4*W19</f>
        <v>93.2</v>
      </c>
      <c r="W19" s="6">
        <f>COUNTIFS($Y:$Y, Y19, $U:$U, "&lt;"&amp;U19) + 1</f>
        <v>18</v>
      </c>
      <c r="X19" s="5">
        <v>95</v>
      </c>
      <c r="Y19" s="6" t="s">
        <v>28</v>
      </c>
      <c r="Z19" s="10"/>
    </row>
    <row r="20" spans="1:26">
      <c r="A20" s="4">
        <v>19</v>
      </c>
      <c r="B20" s="5">
        <v>1120230268</v>
      </c>
      <c r="C20" s="6" t="s">
        <v>46</v>
      </c>
      <c r="D20" s="6" t="str">
        <f>VLOOKUP([1]成绩单!B19,[1]Sheet1!$A:$K,4,0)</f>
        <v>精工2311</v>
      </c>
      <c r="E20" s="5">
        <v>18</v>
      </c>
      <c r="F20" s="7">
        <v>0.189474</v>
      </c>
      <c r="G20" s="8">
        <v>89.554900000000004</v>
      </c>
      <c r="H20" s="5">
        <v>63</v>
      </c>
      <c r="I20" s="9">
        <v>136.5</v>
      </c>
      <c r="J20" s="5">
        <v>0</v>
      </c>
      <c r="K20" s="5">
        <v>0</v>
      </c>
      <c r="L20" s="6" t="s">
        <v>27</v>
      </c>
      <c r="M20" s="6">
        <v>0.8</v>
      </c>
      <c r="N20" s="6">
        <v>2.2000000000000002</v>
      </c>
      <c r="O20" s="6">
        <v>6.35</v>
      </c>
      <c r="P20" s="6">
        <v>4.2</v>
      </c>
      <c r="Q20" s="6">
        <v>6.7</v>
      </c>
      <c r="R20" s="6"/>
      <c r="S20" s="6">
        <f>SUM(M20:Q20)</f>
        <v>20.25</v>
      </c>
      <c r="T20" s="6">
        <f>COUNTIFS($Y:$Y, Y20, $S:$S, "&gt;"&amp;S20) + 1</f>
        <v>40</v>
      </c>
      <c r="U20" s="6">
        <f>0.85*E20+T20*0.15</f>
        <v>21.299999999999997</v>
      </c>
      <c r="V20" s="6">
        <f>100.4-0.4*W20</f>
        <v>92.800000000000011</v>
      </c>
      <c r="W20" s="6">
        <f>COUNTIFS($Y:$Y, Y20, $U:$U, "&lt;"&amp;U20) + 1</f>
        <v>19</v>
      </c>
      <c r="X20" s="5">
        <v>95</v>
      </c>
      <c r="Y20" s="6" t="s">
        <v>28</v>
      </c>
      <c r="Z20" s="10"/>
    </row>
    <row r="21" spans="1:26">
      <c r="A21" s="4">
        <v>20</v>
      </c>
      <c r="B21" s="5">
        <v>1120233387</v>
      </c>
      <c r="C21" s="6" t="s">
        <v>47</v>
      </c>
      <c r="D21" s="6" t="str">
        <f>VLOOKUP([1]成绩单!B23,[1]Sheet1!$A:$K,4,0)</f>
        <v>精工2312</v>
      </c>
      <c r="E21" s="5">
        <v>22</v>
      </c>
      <c r="F21" s="7">
        <v>0.23157900000000001</v>
      </c>
      <c r="G21" s="8">
        <v>89.034099999999995</v>
      </c>
      <c r="H21" s="5">
        <v>65</v>
      </c>
      <c r="I21" s="9">
        <v>139.5</v>
      </c>
      <c r="J21" s="5">
        <v>0</v>
      </c>
      <c r="K21" s="5">
        <v>0</v>
      </c>
      <c r="L21" s="6" t="s">
        <v>27</v>
      </c>
      <c r="M21" s="6">
        <v>5.4</v>
      </c>
      <c r="N21" s="6">
        <v>1.5</v>
      </c>
      <c r="O21" s="6">
        <v>7.1</v>
      </c>
      <c r="P21" s="6">
        <v>5.9</v>
      </c>
      <c r="Q21" s="6">
        <v>12.6</v>
      </c>
      <c r="R21" s="6"/>
      <c r="S21" s="6">
        <f>SUM(M21:Q21)</f>
        <v>32.5</v>
      </c>
      <c r="T21" s="6">
        <f>COUNTIFS($Y:$Y, Y21, $S:$S, "&gt;"&amp;S21) + 1</f>
        <v>20</v>
      </c>
      <c r="U21" s="6">
        <f>0.85*E21+T21*0.15</f>
        <v>21.7</v>
      </c>
      <c r="V21" s="6">
        <f>100.4-0.4*W21</f>
        <v>92.4</v>
      </c>
      <c r="W21" s="6">
        <f>COUNTIFS($Y:$Y, Y21, $U:$U, "&lt;"&amp;U21) + 1</f>
        <v>20</v>
      </c>
      <c r="X21" s="5">
        <v>95</v>
      </c>
      <c r="Y21" s="6" t="s">
        <v>28</v>
      </c>
      <c r="Z21" s="10"/>
    </row>
    <row r="22" spans="1:26">
      <c r="A22" s="4">
        <v>21</v>
      </c>
      <c r="B22" s="5">
        <v>1120233006</v>
      </c>
      <c r="C22" s="6" t="s">
        <v>48</v>
      </c>
      <c r="D22" s="6" t="str">
        <f>VLOOKUP([1]成绩单!B24,[1]Sheet1!$A:$K,4,0)</f>
        <v>精工2312</v>
      </c>
      <c r="E22" s="5">
        <v>23</v>
      </c>
      <c r="F22" s="7">
        <v>0.24210499999999999</v>
      </c>
      <c r="G22" s="8">
        <v>89.0167</v>
      </c>
      <c r="H22" s="5">
        <v>63</v>
      </c>
      <c r="I22" s="9">
        <v>134.5</v>
      </c>
      <c r="J22" s="5">
        <v>0</v>
      </c>
      <c r="K22" s="5">
        <v>0</v>
      </c>
      <c r="L22" s="6" t="s">
        <v>27</v>
      </c>
      <c r="M22" s="6">
        <v>0</v>
      </c>
      <c r="N22" s="6">
        <v>1</v>
      </c>
      <c r="O22" s="6">
        <v>9</v>
      </c>
      <c r="P22" s="6">
        <v>10</v>
      </c>
      <c r="Q22" s="6">
        <v>10</v>
      </c>
      <c r="R22" s="6"/>
      <c r="S22" s="6">
        <f>SUM(M22:Q22)</f>
        <v>30</v>
      </c>
      <c r="T22" s="6">
        <f>COUNTIFS($Y:$Y, Y22, $S:$S, "&gt;"&amp;S22) + 1</f>
        <v>24</v>
      </c>
      <c r="U22" s="6">
        <f>0.85*E22+T22*0.15</f>
        <v>23.15</v>
      </c>
      <c r="V22" s="6">
        <f>100.4-0.4*W22</f>
        <v>92</v>
      </c>
      <c r="W22" s="6">
        <f>COUNTIFS($Y:$Y, Y22, $U:$U, "&lt;"&amp;U22) + 1</f>
        <v>21</v>
      </c>
      <c r="X22" s="5">
        <v>95</v>
      </c>
      <c r="Y22" s="6" t="s">
        <v>28</v>
      </c>
      <c r="Z22" s="10"/>
    </row>
    <row r="23" spans="1:26">
      <c r="A23" s="4">
        <v>22</v>
      </c>
      <c r="B23" s="5">
        <v>1120232489</v>
      </c>
      <c r="C23" s="6" t="s">
        <v>49</v>
      </c>
      <c r="D23" s="6" t="str">
        <f>VLOOKUP([1]成绩单!B27,[1]Sheet1!$A:$K,4,0)</f>
        <v>精工2312</v>
      </c>
      <c r="E23" s="5">
        <v>26</v>
      </c>
      <c r="F23" s="7">
        <v>0.27368399999999998</v>
      </c>
      <c r="G23" s="8">
        <v>88.8</v>
      </c>
      <c r="H23" s="5">
        <v>64</v>
      </c>
      <c r="I23" s="9">
        <v>137.5</v>
      </c>
      <c r="J23" s="5">
        <v>0</v>
      </c>
      <c r="K23" s="5">
        <v>0</v>
      </c>
      <c r="L23" s="6" t="s">
        <v>27</v>
      </c>
      <c r="M23" s="6">
        <v>3.2</v>
      </c>
      <c r="N23" s="6">
        <v>4.3</v>
      </c>
      <c r="O23" s="6">
        <v>16.399999999999999</v>
      </c>
      <c r="P23" s="6">
        <v>9.1999999999999993</v>
      </c>
      <c r="Q23" s="6">
        <v>7</v>
      </c>
      <c r="R23" s="6"/>
      <c r="S23" s="6">
        <f>SUM(M23:Q23)</f>
        <v>40.099999999999994</v>
      </c>
      <c r="T23" s="6">
        <f>COUNTIFS($Y:$Y, Y23, $S:$S, "&gt;"&amp;S23) + 1</f>
        <v>12</v>
      </c>
      <c r="U23" s="6">
        <f>0.85*E23+T23*0.15</f>
        <v>23.9</v>
      </c>
      <c r="V23" s="6">
        <f>100.4-0.4*W23</f>
        <v>91.600000000000009</v>
      </c>
      <c r="W23" s="6">
        <f>COUNTIFS($Y:$Y, Y23, $U:$U, "&lt;"&amp;U23) + 1</f>
        <v>22</v>
      </c>
      <c r="X23" s="5">
        <v>95</v>
      </c>
      <c r="Y23" s="6" t="s">
        <v>28</v>
      </c>
      <c r="Z23" s="10"/>
    </row>
    <row r="24" spans="1:26">
      <c r="A24" s="4">
        <v>23</v>
      </c>
      <c r="B24" s="5">
        <v>1120231656</v>
      </c>
      <c r="C24" s="6" t="s">
        <v>50</v>
      </c>
      <c r="D24" s="6" t="str">
        <f>VLOOKUP([1]成绩单!B21,[1]Sheet1!$A:$K,4,0)</f>
        <v>精工2313</v>
      </c>
      <c r="E24" s="5">
        <v>20</v>
      </c>
      <c r="F24" s="7">
        <v>0.21052599999999999</v>
      </c>
      <c r="G24" s="8">
        <v>89.0989</v>
      </c>
      <c r="H24" s="5">
        <v>66</v>
      </c>
      <c r="I24" s="9">
        <v>141.5</v>
      </c>
      <c r="J24" s="5">
        <v>0</v>
      </c>
      <c r="K24" s="5">
        <v>0</v>
      </c>
      <c r="L24" s="6" t="s">
        <v>27</v>
      </c>
      <c r="M24" s="6">
        <v>2.6</v>
      </c>
      <c r="N24" s="6">
        <v>1.7</v>
      </c>
      <c r="O24" s="6">
        <v>5.5</v>
      </c>
      <c r="P24" s="6">
        <v>2</v>
      </c>
      <c r="Q24" s="6">
        <v>3.7</v>
      </c>
      <c r="R24" s="6"/>
      <c r="S24" s="6">
        <f>SUM(M24:Q24)</f>
        <v>15.5</v>
      </c>
      <c r="T24" s="6">
        <f>COUNTIFS($Y:$Y, Y24, $S:$S, "&gt;"&amp;S24) + 1</f>
        <v>47</v>
      </c>
      <c r="U24" s="6">
        <f>0.85*E24+T24*0.15</f>
        <v>24.05</v>
      </c>
      <c r="V24" s="6">
        <f>100.4-0.4*W24</f>
        <v>91.2</v>
      </c>
      <c r="W24" s="6">
        <f>COUNTIFS($Y:$Y, Y24, $U:$U, "&lt;"&amp;U24) + 1</f>
        <v>23</v>
      </c>
      <c r="X24" s="5">
        <v>95</v>
      </c>
      <c r="Y24" s="6" t="s">
        <v>28</v>
      </c>
      <c r="Z24" s="10"/>
    </row>
    <row r="25" spans="1:26">
      <c r="A25" s="4">
        <v>24</v>
      </c>
      <c r="B25" s="5">
        <v>1120232875</v>
      </c>
      <c r="C25" s="6" t="s">
        <v>51</v>
      </c>
      <c r="D25" s="6" t="str">
        <f>VLOOKUP([1]成绩单!B26,[1]Sheet1!$A:$K,4,0)</f>
        <v>精工2311</v>
      </c>
      <c r="E25" s="5">
        <v>25</v>
      </c>
      <c r="F25" s="7">
        <v>0.263158</v>
      </c>
      <c r="G25" s="8">
        <v>88.852999999999994</v>
      </c>
      <c r="H25" s="5">
        <v>65</v>
      </c>
      <c r="I25" s="9">
        <v>139.5</v>
      </c>
      <c r="J25" s="5">
        <v>0</v>
      </c>
      <c r="K25" s="5">
        <v>0</v>
      </c>
      <c r="L25" s="6" t="s">
        <v>27</v>
      </c>
      <c r="M25" s="6">
        <v>2.4</v>
      </c>
      <c r="N25" s="6">
        <v>0.8</v>
      </c>
      <c r="O25" s="6">
        <v>12.2</v>
      </c>
      <c r="P25" s="6">
        <v>5</v>
      </c>
      <c r="Q25" s="6">
        <v>8.5</v>
      </c>
      <c r="R25" s="6"/>
      <c r="S25" s="6">
        <f>SUM(M25:Q25)</f>
        <v>28.9</v>
      </c>
      <c r="T25" s="6">
        <f>COUNTIFS($Y:$Y, Y25, $S:$S, "&gt;"&amp;S25) + 1</f>
        <v>25</v>
      </c>
      <c r="U25" s="6">
        <f>0.85*E25+T25*0.15</f>
        <v>25</v>
      </c>
      <c r="V25" s="6">
        <f>100.4-0.4*W25</f>
        <v>90.800000000000011</v>
      </c>
      <c r="W25" s="6">
        <f>COUNTIFS($Y:$Y, Y25, $U:$U, "&lt;"&amp;U25) + 1</f>
        <v>24</v>
      </c>
      <c r="X25" s="5">
        <v>95</v>
      </c>
      <c r="Y25" s="6" t="s">
        <v>28</v>
      </c>
      <c r="Z25" s="10"/>
    </row>
    <row r="26" spans="1:26">
      <c r="A26" s="4">
        <v>25</v>
      </c>
      <c r="B26" s="5">
        <v>1120231612</v>
      </c>
      <c r="C26" s="6" t="s">
        <v>52</v>
      </c>
      <c r="D26" s="6" t="str">
        <f>VLOOKUP([1]成绩单!B25,[1]Sheet1!$A:$K,4,0)</f>
        <v>精工2312</v>
      </c>
      <c r="E26" s="5">
        <v>24</v>
      </c>
      <c r="F26" s="7">
        <v>0.25263200000000002</v>
      </c>
      <c r="G26" s="8">
        <v>88.968199999999996</v>
      </c>
      <c r="H26" s="5">
        <v>66</v>
      </c>
      <c r="I26" s="9">
        <v>141.5</v>
      </c>
      <c r="J26" s="5">
        <v>0</v>
      </c>
      <c r="K26" s="5">
        <v>0</v>
      </c>
      <c r="L26" s="6" t="s">
        <v>27</v>
      </c>
      <c r="M26" s="6">
        <v>0.2</v>
      </c>
      <c r="N26" s="6">
        <v>1.2</v>
      </c>
      <c r="O26" s="6">
        <v>5</v>
      </c>
      <c r="P26" s="6">
        <v>4.6500000000000004</v>
      </c>
      <c r="Q26" s="6">
        <v>14.14</v>
      </c>
      <c r="R26" s="6"/>
      <c r="S26" s="6">
        <f>SUM(M26:Q26)</f>
        <v>25.19</v>
      </c>
      <c r="T26" s="6">
        <f>COUNTIFS($Y:$Y, Y26, $S:$S, "&gt;"&amp;S26) + 1</f>
        <v>34</v>
      </c>
      <c r="U26" s="6">
        <f>0.85*E26+T26*0.15</f>
        <v>25.5</v>
      </c>
      <c r="V26" s="6">
        <f>100.4-0.4*W26</f>
        <v>90.4</v>
      </c>
      <c r="W26" s="6">
        <f>COUNTIFS($Y:$Y, Y26, $U:$U, "&lt;"&amp;U26) + 1</f>
        <v>25</v>
      </c>
      <c r="X26" s="5">
        <v>95</v>
      </c>
      <c r="Y26" s="6" t="s">
        <v>28</v>
      </c>
      <c r="Z26" s="10"/>
    </row>
    <row r="27" spans="1:26">
      <c r="A27" s="4">
        <v>26</v>
      </c>
      <c r="B27" s="5">
        <v>1120231778</v>
      </c>
      <c r="C27" s="6" t="s">
        <v>53</v>
      </c>
      <c r="D27" s="6" t="str">
        <f>VLOOKUP([1]成绩单!B22,[1]Sheet1!$A:$K,4,0)</f>
        <v>精工2310</v>
      </c>
      <c r="E27" s="5">
        <v>21</v>
      </c>
      <c r="F27" s="7">
        <v>0.221053</v>
      </c>
      <c r="G27" s="8">
        <v>89.065700000000007</v>
      </c>
      <c r="H27" s="5">
        <v>66</v>
      </c>
      <c r="I27" s="11">
        <v>140.75</v>
      </c>
      <c r="J27" s="5">
        <v>0</v>
      </c>
      <c r="K27" s="5">
        <v>0</v>
      </c>
      <c r="L27" s="6" t="s">
        <v>27</v>
      </c>
      <c r="M27" s="6">
        <v>0.5</v>
      </c>
      <c r="N27" s="6">
        <v>5</v>
      </c>
      <c r="O27" s="6">
        <v>4.3</v>
      </c>
      <c r="P27" s="6">
        <v>2</v>
      </c>
      <c r="Q27" s="6">
        <v>0.75</v>
      </c>
      <c r="R27" s="6"/>
      <c r="S27" s="6">
        <f>SUM(M27:Q27)</f>
        <v>12.55</v>
      </c>
      <c r="T27" s="6">
        <f>COUNTIFS($Y:$Y, Y27, $S:$S, "&gt;"&amp;S27) + 1</f>
        <v>55</v>
      </c>
      <c r="U27" s="6">
        <f>0.85*E27+T27*0.15</f>
        <v>26.099999999999998</v>
      </c>
      <c r="V27" s="6">
        <f>100.4-0.4*W27</f>
        <v>90</v>
      </c>
      <c r="W27" s="6">
        <f>COUNTIFS($Y:$Y, Y27, $U:$U, "&lt;"&amp;U27) + 1</f>
        <v>26</v>
      </c>
      <c r="X27" s="5">
        <v>95</v>
      </c>
      <c r="Y27" s="6" t="s">
        <v>28</v>
      </c>
      <c r="Z27" s="10"/>
    </row>
    <row r="28" spans="1:26">
      <c r="A28" s="4">
        <v>27</v>
      </c>
      <c r="B28" s="5">
        <v>1120232495</v>
      </c>
      <c r="C28" s="6" t="s">
        <v>54</v>
      </c>
      <c r="D28" s="6" t="str">
        <f>VLOOKUP([1]成绩单!B31,[1]Sheet1!$A:$K,4,0)</f>
        <v>精工2313</v>
      </c>
      <c r="E28" s="5">
        <v>30</v>
      </c>
      <c r="F28" s="7">
        <v>0.31578899999999999</v>
      </c>
      <c r="G28" s="8">
        <v>87.768500000000003</v>
      </c>
      <c r="H28" s="5">
        <v>63</v>
      </c>
      <c r="I28" s="5">
        <v>135</v>
      </c>
      <c r="J28" s="5">
        <v>0</v>
      </c>
      <c r="K28" s="5">
        <v>0</v>
      </c>
      <c r="L28" s="6" t="s">
        <v>27</v>
      </c>
      <c r="M28" s="6">
        <v>0.3</v>
      </c>
      <c r="N28" s="6">
        <v>5.84</v>
      </c>
      <c r="O28" s="6">
        <v>17.399999999999999</v>
      </c>
      <c r="P28" s="6">
        <v>5.15</v>
      </c>
      <c r="Q28" s="6">
        <v>8.6999999999999993</v>
      </c>
      <c r="R28" s="6"/>
      <c r="S28" s="6">
        <f>SUM(M28:Q28)</f>
        <v>37.39</v>
      </c>
      <c r="T28" s="6">
        <f>COUNTIFS($Y:$Y, Y28, $S:$S, "&gt;"&amp;S28) + 1</f>
        <v>16</v>
      </c>
      <c r="U28" s="6">
        <f>0.85*E28+T28*0.15</f>
        <v>27.9</v>
      </c>
      <c r="V28" s="6">
        <f>100.4-0.4*W28</f>
        <v>89.600000000000009</v>
      </c>
      <c r="W28" s="6">
        <f>COUNTIFS($Y:$Y, Y28, $U:$U, "&lt;"&amp;U28) + 1</f>
        <v>27</v>
      </c>
      <c r="X28" s="5">
        <v>95</v>
      </c>
      <c r="Y28" s="6" t="s">
        <v>28</v>
      </c>
      <c r="Z28" s="10"/>
    </row>
    <row r="29" spans="1:26">
      <c r="A29" s="4">
        <v>28</v>
      </c>
      <c r="B29" s="5">
        <v>1120231433</v>
      </c>
      <c r="C29" s="6" t="s">
        <v>55</v>
      </c>
      <c r="D29" s="6" t="str">
        <f>VLOOKUP([1]成绩单!B32,[1]Sheet1!$A:$K,4,0)</f>
        <v>精工2310</v>
      </c>
      <c r="E29" s="5">
        <v>31</v>
      </c>
      <c r="F29" s="7">
        <v>0.32631599999999999</v>
      </c>
      <c r="G29" s="8">
        <v>87.381699999999995</v>
      </c>
      <c r="H29" s="5">
        <v>74</v>
      </c>
      <c r="I29" s="9">
        <v>158.5</v>
      </c>
      <c r="J29" s="5">
        <v>0</v>
      </c>
      <c r="K29" s="5">
        <v>0</v>
      </c>
      <c r="L29" s="6" t="s">
        <v>27</v>
      </c>
      <c r="M29" s="6">
        <v>1.8</v>
      </c>
      <c r="N29" s="6">
        <v>4.4800000000000004</v>
      </c>
      <c r="O29" s="6">
        <v>7.5</v>
      </c>
      <c r="P29" s="6">
        <v>10.8</v>
      </c>
      <c r="Q29" s="6">
        <v>9.6999999999999993</v>
      </c>
      <c r="R29" s="6"/>
      <c r="S29" s="6">
        <f>SUM(M29:Q29)</f>
        <v>34.28</v>
      </c>
      <c r="T29" s="6">
        <f>COUNTIFS($Y:$Y, Y29, $S:$S, "&gt;"&amp;S29) + 1</f>
        <v>19</v>
      </c>
      <c r="U29" s="6">
        <f>0.85*E29+T29*0.15</f>
        <v>29.2</v>
      </c>
      <c r="V29" s="6">
        <f>100.4-0.4*W29</f>
        <v>89.2</v>
      </c>
      <c r="W29" s="6">
        <f>COUNTIFS($Y:$Y, Y29, $U:$U, "&lt;"&amp;U29) + 1</f>
        <v>28</v>
      </c>
      <c r="X29" s="5">
        <v>95</v>
      </c>
      <c r="Y29" s="6" t="s">
        <v>28</v>
      </c>
      <c r="Z29" s="10"/>
    </row>
    <row r="30" spans="1:26">
      <c r="A30" s="4">
        <v>29</v>
      </c>
      <c r="B30" s="5">
        <v>1120231631</v>
      </c>
      <c r="C30" s="6" t="s">
        <v>56</v>
      </c>
      <c r="D30" s="6" t="str">
        <f>VLOOKUP([1]成绩单!B28,[1]Sheet1!$A:$K,4,0)</f>
        <v>精工2313</v>
      </c>
      <c r="E30" s="5">
        <v>27</v>
      </c>
      <c r="F30" s="7">
        <v>0.28421099999999999</v>
      </c>
      <c r="G30" s="8">
        <v>88.594800000000006</v>
      </c>
      <c r="H30" s="5">
        <v>63</v>
      </c>
      <c r="I30" s="9">
        <v>134.5</v>
      </c>
      <c r="J30" s="5">
        <v>0</v>
      </c>
      <c r="K30" s="5">
        <v>0</v>
      </c>
      <c r="L30" s="6" t="s">
        <v>27</v>
      </c>
      <c r="M30" s="6">
        <v>0.5</v>
      </c>
      <c r="N30" s="6">
        <v>1.2</v>
      </c>
      <c r="O30" s="6">
        <v>5.3</v>
      </c>
      <c r="P30" s="6">
        <v>1.5</v>
      </c>
      <c r="Q30" s="6">
        <v>7.6</v>
      </c>
      <c r="R30" s="6"/>
      <c r="S30" s="6">
        <f>SUM(M30:Q30)</f>
        <v>16.100000000000001</v>
      </c>
      <c r="T30" s="6">
        <f>COUNTIFS($Y:$Y, Y30, $S:$S, "&gt;"&amp;S30) + 1</f>
        <v>45</v>
      </c>
      <c r="U30" s="6">
        <f>0.85*E30+T30*0.15</f>
        <v>29.7</v>
      </c>
      <c r="V30" s="6">
        <f>100.4-0.4*W30</f>
        <v>88.800000000000011</v>
      </c>
      <c r="W30" s="6">
        <f>COUNTIFS($Y:$Y, Y30, $U:$U, "&lt;"&amp;U30) + 1</f>
        <v>29</v>
      </c>
      <c r="X30" s="5">
        <v>95</v>
      </c>
      <c r="Y30" s="6" t="s">
        <v>28</v>
      </c>
      <c r="Z30" s="10"/>
    </row>
    <row r="31" spans="1:26">
      <c r="A31" s="4">
        <v>30</v>
      </c>
      <c r="B31" s="5">
        <v>1120231762</v>
      </c>
      <c r="C31" s="6" t="s">
        <v>57</v>
      </c>
      <c r="D31" s="6" t="str">
        <f>VLOOKUP([1]成绩单!B35,[1]Sheet1!$A:$K,4,0)</f>
        <v>精工2310</v>
      </c>
      <c r="E31" s="5">
        <v>34</v>
      </c>
      <c r="F31" s="7">
        <v>0.35789500000000002</v>
      </c>
      <c r="G31" s="8">
        <v>87.063599999999994</v>
      </c>
      <c r="H31" s="5">
        <v>67</v>
      </c>
      <c r="I31" s="9">
        <v>141.5</v>
      </c>
      <c r="J31" s="5">
        <v>0</v>
      </c>
      <c r="K31" s="5">
        <v>0</v>
      </c>
      <c r="L31" s="6" t="s">
        <v>27</v>
      </c>
      <c r="M31" s="6">
        <v>1.7</v>
      </c>
      <c r="N31" s="6">
        <v>6.2</v>
      </c>
      <c r="O31" s="6">
        <v>9.4</v>
      </c>
      <c r="P31" s="6">
        <v>10.6</v>
      </c>
      <c r="Q31" s="6">
        <v>10.199999999999999</v>
      </c>
      <c r="R31" s="6"/>
      <c r="S31" s="6">
        <f>SUM(M31:Q31)</f>
        <v>38.099999999999994</v>
      </c>
      <c r="T31" s="6">
        <f>COUNTIFS($Y:$Y, Y31, $S:$S, "&gt;"&amp;S31) + 1</f>
        <v>15</v>
      </c>
      <c r="U31" s="6">
        <f>0.85*E31+T31*0.15</f>
        <v>31.15</v>
      </c>
      <c r="V31" s="6">
        <f>100.4-0.4*W31</f>
        <v>88.4</v>
      </c>
      <c r="W31" s="6">
        <f>COUNTIFS($Y:$Y, Y31, $U:$U, "&lt;"&amp;U31) + 1</f>
        <v>30</v>
      </c>
      <c r="X31" s="5">
        <v>95</v>
      </c>
      <c r="Y31" s="6" t="s">
        <v>28</v>
      </c>
      <c r="Z31" s="10"/>
    </row>
    <row r="32" spans="1:26">
      <c r="A32" s="4">
        <v>31</v>
      </c>
      <c r="B32" s="5">
        <v>1120232294</v>
      </c>
      <c r="C32" s="6" t="s">
        <v>58</v>
      </c>
      <c r="D32" s="6" t="str">
        <f>VLOOKUP([1]成绩单!B29,[1]Sheet1!$A:$K,4,0)</f>
        <v>精工2312</v>
      </c>
      <c r="E32" s="5">
        <v>28</v>
      </c>
      <c r="F32" s="7">
        <v>0.29473700000000003</v>
      </c>
      <c r="G32" s="8">
        <v>88.304500000000004</v>
      </c>
      <c r="H32" s="5">
        <v>64</v>
      </c>
      <c r="I32" s="11">
        <v>138.75</v>
      </c>
      <c r="J32" s="5">
        <v>0</v>
      </c>
      <c r="K32" s="5">
        <v>0</v>
      </c>
      <c r="L32" s="6" t="s">
        <v>27</v>
      </c>
      <c r="M32" s="6">
        <v>2.15</v>
      </c>
      <c r="N32" s="6">
        <v>1.7</v>
      </c>
      <c r="O32" s="6">
        <v>3.2</v>
      </c>
      <c r="P32" s="6">
        <v>5.7</v>
      </c>
      <c r="Q32" s="6">
        <v>1.2</v>
      </c>
      <c r="R32" s="6"/>
      <c r="S32" s="6">
        <f>SUM(M32:Q32)</f>
        <v>13.95</v>
      </c>
      <c r="T32" s="6">
        <f>COUNTIFS($Y:$Y, Y32, $S:$S, "&gt;"&amp;S32) + 1</f>
        <v>50</v>
      </c>
      <c r="U32" s="6">
        <f>0.85*E32+T32*0.15</f>
        <v>31.3</v>
      </c>
      <c r="V32" s="6">
        <f>100.4-0.4*W32</f>
        <v>88</v>
      </c>
      <c r="W32" s="6">
        <f>COUNTIFS($Y:$Y, Y32, $U:$U, "&lt;"&amp;U32) + 1</f>
        <v>31</v>
      </c>
      <c r="X32" s="5">
        <v>95</v>
      </c>
      <c r="Y32" s="6" t="s">
        <v>28</v>
      </c>
      <c r="Z32" s="10"/>
    </row>
    <row r="33" spans="1:26">
      <c r="A33" s="4">
        <v>32</v>
      </c>
      <c r="B33" s="5">
        <v>1120232903</v>
      </c>
      <c r="C33" s="6" t="s">
        <v>59</v>
      </c>
      <c r="D33" s="6" t="str">
        <f>VLOOKUP([1]成绩单!B33,[1]Sheet1!$A:$K,4,0)</f>
        <v>精工2312</v>
      </c>
      <c r="E33" s="5">
        <v>32</v>
      </c>
      <c r="F33" s="7">
        <v>0.33684199999999997</v>
      </c>
      <c r="G33" s="8">
        <v>87.292100000000005</v>
      </c>
      <c r="H33" s="5">
        <v>64</v>
      </c>
      <c r="I33" s="9">
        <v>139.5</v>
      </c>
      <c r="J33" s="5">
        <v>0</v>
      </c>
      <c r="K33" s="5">
        <v>0</v>
      </c>
      <c r="L33" s="6" t="s">
        <v>27</v>
      </c>
      <c r="M33" s="6">
        <v>1.3</v>
      </c>
      <c r="N33" s="6">
        <v>3.2</v>
      </c>
      <c r="O33" s="6">
        <v>8.35</v>
      </c>
      <c r="P33" s="6">
        <v>6.15</v>
      </c>
      <c r="Q33" s="6">
        <v>7</v>
      </c>
      <c r="R33" s="6"/>
      <c r="S33" s="6">
        <f>SUM(M33:Q33)</f>
        <v>26</v>
      </c>
      <c r="T33" s="6">
        <f>COUNTIFS($Y:$Y, Y33, $S:$S, "&gt;"&amp;S33) + 1</f>
        <v>30</v>
      </c>
      <c r="U33" s="6">
        <f>0.85*E33+T33*0.15</f>
        <v>31.7</v>
      </c>
      <c r="V33" s="6">
        <f>100.4-0.4*W33</f>
        <v>87.600000000000009</v>
      </c>
      <c r="W33" s="6">
        <f>COUNTIFS($Y:$Y, Y33, $U:$U, "&lt;"&amp;U33) + 1</f>
        <v>32</v>
      </c>
      <c r="X33" s="5">
        <v>95</v>
      </c>
      <c r="Y33" s="6" t="s">
        <v>28</v>
      </c>
      <c r="Z33" s="10"/>
    </row>
    <row r="34" spans="1:26">
      <c r="A34" s="4">
        <v>33</v>
      </c>
      <c r="B34" s="5">
        <v>1120231358</v>
      </c>
      <c r="C34" s="6" t="s">
        <v>60</v>
      </c>
      <c r="D34" s="6" t="str">
        <f>VLOOKUP([1]成绩单!B37,[1]Sheet1!$A:$K,4,0)</f>
        <v>精工2313</v>
      </c>
      <c r="E34" s="5">
        <v>36</v>
      </c>
      <c r="F34" s="7">
        <v>0.37894699999999998</v>
      </c>
      <c r="G34" s="8">
        <v>86.953000000000003</v>
      </c>
      <c r="H34" s="5">
        <v>67</v>
      </c>
      <c r="I34" s="9">
        <v>143.5</v>
      </c>
      <c r="J34" s="5">
        <v>0</v>
      </c>
      <c r="K34" s="5">
        <v>0</v>
      </c>
      <c r="L34" s="6" t="s">
        <v>27</v>
      </c>
      <c r="M34" s="6">
        <v>2.7</v>
      </c>
      <c r="N34" s="6">
        <v>6.7</v>
      </c>
      <c r="O34" s="6">
        <v>11.6</v>
      </c>
      <c r="P34" s="6">
        <v>10.6</v>
      </c>
      <c r="Q34" s="6">
        <v>14.8</v>
      </c>
      <c r="R34" s="6"/>
      <c r="S34" s="6">
        <f>SUM(M34:Q34)</f>
        <v>46.400000000000006</v>
      </c>
      <c r="T34" s="6">
        <f>COUNTIFS($Y:$Y, Y34, $S:$S, "&gt;"&amp;S34) + 1</f>
        <v>9</v>
      </c>
      <c r="U34" s="6">
        <f>0.85*E34+T34*0.15</f>
        <v>31.95</v>
      </c>
      <c r="V34" s="6">
        <f>100.4-0.4*W34</f>
        <v>87.2</v>
      </c>
      <c r="W34" s="6">
        <f>COUNTIFS($Y:$Y, Y34, $U:$U, "&lt;"&amp;U34) + 1</f>
        <v>33</v>
      </c>
      <c r="X34" s="5">
        <v>95</v>
      </c>
      <c r="Y34" s="6" t="s">
        <v>28</v>
      </c>
      <c r="Z34" s="10"/>
    </row>
    <row r="35" spans="1:26">
      <c r="A35" s="4">
        <v>34</v>
      </c>
      <c r="B35" s="5">
        <v>1120232519</v>
      </c>
      <c r="C35" s="6" t="s">
        <v>61</v>
      </c>
      <c r="D35" s="6" t="str">
        <f>VLOOKUP([1]成绩单!B34,[1]Sheet1!$A:$K,4,0)</f>
        <v>精工2310</v>
      </c>
      <c r="E35" s="5">
        <v>33</v>
      </c>
      <c r="F35" s="7">
        <v>0.34736800000000001</v>
      </c>
      <c r="G35" s="8">
        <v>87.157200000000003</v>
      </c>
      <c r="H35" s="5">
        <v>66</v>
      </c>
      <c r="I35" s="9">
        <v>141.5</v>
      </c>
      <c r="J35" s="5">
        <v>0</v>
      </c>
      <c r="K35" s="5">
        <v>0</v>
      </c>
      <c r="L35" s="6" t="s">
        <v>27</v>
      </c>
      <c r="M35" s="6">
        <v>2.8</v>
      </c>
      <c r="N35" s="6">
        <v>0.4</v>
      </c>
      <c r="O35" s="6">
        <v>3.7</v>
      </c>
      <c r="P35" s="6">
        <v>6</v>
      </c>
      <c r="Q35" s="6">
        <v>13.3</v>
      </c>
      <c r="R35" s="6"/>
      <c r="S35" s="6">
        <f>SUM(M35:Q35)</f>
        <v>26.200000000000003</v>
      </c>
      <c r="T35" s="6">
        <f>COUNTIFS($Y:$Y, Y35, $S:$S, "&gt;"&amp;S35) + 1</f>
        <v>28</v>
      </c>
      <c r="U35" s="6">
        <f>0.85*E35+T35*0.15</f>
        <v>32.25</v>
      </c>
      <c r="V35" s="6">
        <f>100.4-0.4*W35</f>
        <v>86.800000000000011</v>
      </c>
      <c r="W35" s="6">
        <f>COUNTIFS($Y:$Y, Y35, $U:$U, "&lt;"&amp;U35) + 1</f>
        <v>34</v>
      </c>
      <c r="X35" s="5">
        <v>95</v>
      </c>
      <c r="Y35" s="6" t="s">
        <v>28</v>
      </c>
      <c r="Z35" s="10"/>
    </row>
    <row r="36" spans="1:26">
      <c r="A36" s="4">
        <v>35</v>
      </c>
      <c r="B36" s="5">
        <v>1120232761</v>
      </c>
      <c r="C36" s="6" t="s">
        <v>62</v>
      </c>
      <c r="D36" s="6" t="str">
        <f>VLOOKUP([1]成绩单!B30,[1]Sheet1!$A:$K,4,0)</f>
        <v>精工2310</v>
      </c>
      <c r="E36" s="5">
        <v>29</v>
      </c>
      <c r="F36" s="7">
        <v>0.30526300000000001</v>
      </c>
      <c r="G36" s="8">
        <v>87.9636</v>
      </c>
      <c r="H36" s="5">
        <v>64</v>
      </c>
      <c r="I36" s="9">
        <v>137.5</v>
      </c>
      <c r="J36" s="5">
        <v>0</v>
      </c>
      <c r="K36" s="5">
        <v>0</v>
      </c>
      <c r="L36" s="6" t="s">
        <v>27</v>
      </c>
      <c r="M36" s="6">
        <v>1.2</v>
      </c>
      <c r="N36" s="6">
        <v>2.2000000000000002</v>
      </c>
      <c r="O36" s="6">
        <v>2.2999999999999998</v>
      </c>
      <c r="P36" s="6">
        <v>2.5</v>
      </c>
      <c r="Q36" s="6">
        <v>4.5</v>
      </c>
      <c r="R36" s="6"/>
      <c r="S36" s="6">
        <f>SUM(M36:Q36)</f>
        <v>12.7</v>
      </c>
      <c r="T36" s="6">
        <f>COUNTIFS($Y:$Y, Y36, $S:$S, "&gt;"&amp;S36) + 1</f>
        <v>54</v>
      </c>
      <c r="U36" s="6">
        <f>0.85*E36+T36*0.15</f>
        <v>32.75</v>
      </c>
      <c r="V36" s="6">
        <f>100.4-0.4*W36</f>
        <v>86.4</v>
      </c>
      <c r="W36" s="6">
        <f>COUNTIFS($Y:$Y, Y36, $U:$U, "&lt;"&amp;U36) + 1</f>
        <v>35</v>
      </c>
      <c r="X36" s="5">
        <v>95</v>
      </c>
      <c r="Y36" s="6" t="s">
        <v>28</v>
      </c>
      <c r="Z36" s="10"/>
    </row>
    <row r="37" spans="1:26">
      <c r="A37" s="4">
        <v>36</v>
      </c>
      <c r="B37" s="5">
        <v>1120231024</v>
      </c>
      <c r="C37" s="6" t="s">
        <v>63</v>
      </c>
      <c r="D37" s="6" t="str">
        <f>VLOOKUP([1]成绩单!B43,[1]Sheet1!$A:$K,4,0)</f>
        <v>精工2311</v>
      </c>
      <c r="E37" s="5">
        <v>42</v>
      </c>
      <c r="F37" s="7">
        <v>0.44210500000000003</v>
      </c>
      <c r="G37" s="8">
        <v>85.657499999999999</v>
      </c>
      <c r="H37" s="5">
        <v>64</v>
      </c>
      <c r="I37" s="9">
        <v>136.5</v>
      </c>
      <c r="J37" s="5">
        <v>0</v>
      </c>
      <c r="K37" s="5">
        <v>0</v>
      </c>
      <c r="L37" s="6" t="s">
        <v>27</v>
      </c>
      <c r="M37" s="6">
        <v>5.7</v>
      </c>
      <c r="N37" s="6">
        <v>8.1</v>
      </c>
      <c r="O37" s="6">
        <v>8.5</v>
      </c>
      <c r="P37" s="6">
        <v>8.6999999999999993</v>
      </c>
      <c r="Q37" s="6">
        <v>9</v>
      </c>
      <c r="R37" s="6"/>
      <c r="S37" s="6">
        <f>SUM(M37:Q37)</f>
        <v>40</v>
      </c>
      <c r="T37" s="6">
        <f>COUNTIFS($Y:$Y, Y37, $S:$S, "&gt;"&amp;S37) + 1</f>
        <v>13</v>
      </c>
      <c r="U37" s="6">
        <f>0.85*E37+T37*0.15</f>
        <v>37.65</v>
      </c>
      <c r="V37" s="6">
        <f>100.4-0.4*W37</f>
        <v>86</v>
      </c>
      <c r="W37" s="6">
        <f>COUNTIFS($Y:$Y, Y37, $U:$U, "&lt;"&amp;U37) + 1</f>
        <v>36</v>
      </c>
      <c r="X37" s="5">
        <v>95</v>
      </c>
      <c r="Y37" s="6" t="s">
        <v>28</v>
      </c>
      <c r="Z37" s="10"/>
    </row>
    <row r="38" spans="1:26">
      <c r="A38" s="4">
        <v>37</v>
      </c>
      <c r="B38" s="5">
        <v>1120233391</v>
      </c>
      <c r="C38" s="6" t="s">
        <v>64</v>
      </c>
      <c r="D38" s="6" t="str">
        <f>VLOOKUP([1]成绩单!B36,[1]Sheet1!$A:$K,4,0)</f>
        <v>精工2311</v>
      </c>
      <c r="E38" s="5">
        <v>35</v>
      </c>
      <c r="F38" s="7">
        <v>0.368421</v>
      </c>
      <c r="G38" s="8">
        <v>86.990799999999993</v>
      </c>
      <c r="H38" s="5">
        <v>63</v>
      </c>
      <c r="I38" s="9">
        <v>136.5</v>
      </c>
      <c r="J38" s="5">
        <v>0</v>
      </c>
      <c r="K38" s="5">
        <v>0</v>
      </c>
      <c r="L38" s="6" t="s">
        <v>27</v>
      </c>
      <c r="M38" s="6">
        <v>0.95</v>
      </c>
      <c r="N38" s="6">
        <v>1.8</v>
      </c>
      <c r="O38" s="6">
        <v>1.3</v>
      </c>
      <c r="P38" s="6">
        <v>1</v>
      </c>
      <c r="Q38" s="6">
        <v>7.7</v>
      </c>
      <c r="R38" s="6"/>
      <c r="S38" s="6">
        <f>SUM(M38:Q38)</f>
        <v>12.75</v>
      </c>
      <c r="T38" s="6">
        <f>COUNTIFS($Y:$Y, Y38, $S:$S, "&gt;"&amp;S38) + 1</f>
        <v>53</v>
      </c>
      <c r="U38" s="6">
        <f>0.85*E38+T38*0.15</f>
        <v>37.700000000000003</v>
      </c>
      <c r="V38" s="6">
        <f>100.4-0.4*W38</f>
        <v>85.600000000000009</v>
      </c>
      <c r="W38" s="6">
        <f>COUNTIFS($Y:$Y, Y38, $U:$U, "&lt;"&amp;U38) + 1</f>
        <v>37</v>
      </c>
      <c r="X38" s="5">
        <v>95</v>
      </c>
      <c r="Y38" s="6" t="s">
        <v>28</v>
      </c>
      <c r="Z38" s="10"/>
    </row>
    <row r="39" spans="1:26">
      <c r="A39" s="4">
        <v>38</v>
      </c>
      <c r="B39" s="5">
        <v>1120232222</v>
      </c>
      <c r="C39" s="6" t="s">
        <v>65</v>
      </c>
      <c r="D39" s="6" t="str">
        <f>VLOOKUP([1]成绩单!B41,[1]Sheet1!$A:$K,4,0)</f>
        <v>精工2313</v>
      </c>
      <c r="E39" s="5">
        <v>40</v>
      </c>
      <c r="F39" s="7">
        <v>0.42105300000000001</v>
      </c>
      <c r="G39" s="8">
        <v>86.084900000000005</v>
      </c>
      <c r="H39" s="5">
        <v>63</v>
      </c>
      <c r="I39" s="9">
        <v>135.5</v>
      </c>
      <c r="J39" s="5">
        <v>0</v>
      </c>
      <c r="K39" s="5">
        <v>0</v>
      </c>
      <c r="L39" s="6" t="s">
        <v>27</v>
      </c>
      <c r="M39" s="6">
        <v>1.8</v>
      </c>
      <c r="N39" s="6">
        <v>2</v>
      </c>
      <c r="O39" s="6">
        <v>2.6</v>
      </c>
      <c r="P39" s="6">
        <v>8.5</v>
      </c>
      <c r="Q39" s="6">
        <v>13.4</v>
      </c>
      <c r="R39" s="6"/>
      <c r="S39" s="6">
        <f>SUM(M39:Q39)</f>
        <v>28.3</v>
      </c>
      <c r="T39" s="6">
        <f>COUNTIFS($Y:$Y, Y39, $S:$S, "&gt;"&amp;S39) + 1</f>
        <v>26</v>
      </c>
      <c r="U39" s="6">
        <f>0.85*E39+T39*0.15</f>
        <v>37.9</v>
      </c>
      <c r="V39" s="6">
        <f>100.4-0.4*W39</f>
        <v>85.2</v>
      </c>
      <c r="W39" s="6">
        <f>COUNTIFS($Y:$Y, Y39, $U:$U, "&lt;"&amp;U39) + 1</f>
        <v>38</v>
      </c>
      <c r="X39" s="5">
        <v>95</v>
      </c>
      <c r="Y39" s="6" t="s">
        <v>28</v>
      </c>
      <c r="Z39" s="10"/>
    </row>
    <row r="40" spans="1:26">
      <c r="A40" s="4">
        <v>39</v>
      </c>
      <c r="B40" s="5">
        <v>1120231429</v>
      </c>
      <c r="C40" s="6" t="s">
        <v>66</v>
      </c>
      <c r="D40" s="6" t="str">
        <f>VLOOKUP([1]成绩单!B39,[1]Sheet1!$A:$K,4,0)</f>
        <v>精工2310</v>
      </c>
      <c r="E40" s="5">
        <v>38</v>
      </c>
      <c r="F40" s="7">
        <v>0.4</v>
      </c>
      <c r="G40" s="8">
        <v>86.124499999999998</v>
      </c>
      <c r="H40" s="5">
        <v>64</v>
      </c>
      <c r="I40" s="9">
        <v>136.5</v>
      </c>
      <c r="J40" s="5">
        <v>0</v>
      </c>
      <c r="K40" s="5">
        <v>0</v>
      </c>
      <c r="L40" s="6" t="s">
        <v>27</v>
      </c>
      <c r="M40" s="6">
        <v>4.8</v>
      </c>
      <c r="N40" s="6">
        <v>5.8</v>
      </c>
      <c r="O40" s="6">
        <v>4.7</v>
      </c>
      <c r="P40" s="6">
        <v>3.5</v>
      </c>
      <c r="Q40" s="6">
        <v>3.6</v>
      </c>
      <c r="R40" s="6"/>
      <c r="S40" s="6">
        <f>SUM(M40:Q40)</f>
        <v>22.400000000000002</v>
      </c>
      <c r="T40" s="6">
        <f>COUNTIFS($Y:$Y, Y40, $S:$S, "&gt;"&amp;S40) + 1</f>
        <v>38</v>
      </c>
      <c r="U40" s="6">
        <f>0.85*E40+T40*0.15</f>
        <v>38</v>
      </c>
      <c r="V40" s="6">
        <f>100.4-0.4*W40</f>
        <v>84.800000000000011</v>
      </c>
      <c r="W40" s="6">
        <f>COUNTIFS($Y:$Y, Y40, $U:$U, "&lt;"&amp;U40) + 1</f>
        <v>39</v>
      </c>
      <c r="X40" s="5">
        <v>95</v>
      </c>
      <c r="Y40" s="6" t="s">
        <v>28</v>
      </c>
      <c r="Z40" s="10"/>
    </row>
    <row r="41" spans="1:26">
      <c r="A41" s="4">
        <v>40</v>
      </c>
      <c r="B41" s="5">
        <v>1120232897</v>
      </c>
      <c r="C41" s="6" t="s">
        <v>67</v>
      </c>
      <c r="D41" s="6" t="str">
        <f>VLOOKUP([1]成绩单!B42,[1]Sheet1!$A:$K,4,0)</f>
        <v>精工2310</v>
      </c>
      <c r="E41" s="5">
        <v>41</v>
      </c>
      <c r="F41" s="7">
        <v>0.43157899999999999</v>
      </c>
      <c r="G41" s="8">
        <v>85.808499999999995</v>
      </c>
      <c r="H41" s="5">
        <v>66</v>
      </c>
      <c r="I41" s="5">
        <v>141</v>
      </c>
      <c r="J41" s="5">
        <v>0</v>
      </c>
      <c r="K41" s="5">
        <v>0</v>
      </c>
      <c r="L41" s="6" t="s">
        <v>27</v>
      </c>
      <c r="M41" s="6">
        <v>1.05</v>
      </c>
      <c r="N41" s="6">
        <v>3.2</v>
      </c>
      <c r="O41" s="6">
        <v>7.5</v>
      </c>
      <c r="P41" s="6">
        <v>7.7</v>
      </c>
      <c r="Q41" s="6">
        <v>6</v>
      </c>
      <c r="R41" s="6"/>
      <c r="S41" s="6">
        <f>SUM(M41:Q41)</f>
        <v>25.45</v>
      </c>
      <c r="T41" s="6">
        <f>COUNTIFS($Y:$Y, Y41, $S:$S, "&gt;"&amp;S41) + 1</f>
        <v>33</v>
      </c>
      <c r="U41" s="6">
        <f>0.85*E41+T41*0.15</f>
        <v>39.800000000000004</v>
      </c>
      <c r="V41" s="6">
        <f>100.4-0.4*W41</f>
        <v>84.4</v>
      </c>
      <c r="W41" s="6">
        <f>COUNTIFS($Y:$Y, Y41, $U:$U, "&lt;"&amp;U41) + 1</f>
        <v>40</v>
      </c>
      <c r="X41" s="5">
        <v>95</v>
      </c>
      <c r="Y41" s="6" t="s">
        <v>28</v>
      </c>
      <c r="Z41" s="10"/>
    </row>
    <row r="42" spans="1:26">
      <c r="A42" s="4">
        <v>41</v>
      </c>
      <c r="B42" s="5">
        <v>1120231272</v>
      </c>
      <c r="C42" s="6" t="s">
        <v>68</v>
      </c>
      <c r="D42" s="6" t="str">
        <f>VLOOKUP([1]成绩单!B48,[1]Sheet1!$A:$K,4,0)</f>
        <v>精工2312</v>
      </c>
      <c r="E42" s="5">
        <v>47</v>
      </c>
      <c r="F42" s="7">
        <v>0.49473699999999998</v>
      </c>
      <c r="G42" s="8">
        <v>84.632000000000005</v>
      </c>
      <c r="H42" s="5">
        <v>62</v>
      </c>
      <c r="I42" s="9">
        <v>134.5</v>
      </c>
      <c r="J42" s="5">
        <v>0</v>
      </c>
      <c r="K42" s="5">
        <v>0</v>
      </c>
      <c r="L42" s="6" t="s">
        <v>27</v>
      </c>
      <c r="M42" s="6">
        <v>4.5999999999999996</v>
      </c>
      <c r="N42" s="6">
        <v>5</v>
      </c>
      <c r="O42" s="6">
        <v>9.3000000000000007</v>
      </c>
      <c r="P42" s="6">
        <v>7.9</v>
      </c>
      <c r="Q42" s="6">
        <v>13</v>
      </c>
      <c r="R42" s="6"/>
      <c r="S42" s="6">
        <f>SUM(M42:Q42)</f>
        <v>39.799999999999997</v>
      </c>
      <c r="T42" s="6">
        <f>COUNTIFS($Y:$Y, Y42, $S:$S, "&gt;"&amp;S42) + 1</f>
        <v>14</v>
      </c>
      <c r="U42" s="6">
        <f>0.85*E42+T42*0.15</f>
        <v>42.05</v>
      </c>
      <c r="V42" s="6">
        <f>100.4-0.4*W42</f>
        <v>84</v>
      </c>
      <c r="W42" s="6">
        <f>COUNTIFS($Y:$Y, Y42, $U:$U, "&lt;"&amp;U42) + 1</f>
        <v>41</v>
      </c>
      <c r="X42" s="5">
        <v>95</v>
      </c>
      <c r="Y42" s="6" t="s">
        <v>28</v>
      </c>
      <c r="Z42" s="10"/>
    </row>
    <row r="43" spans="1:26">
      <c r="A43" s="4">
        <v>42</v>
      </c>
      <c r="B43" s="5">
        <v>1120232867</v>
      </c>
      <c r="C43" s="6" t="s">
        <v>69</v>
      </c>
      <c r="D43" s="6" t="str">
        <f>VLOOKUP([1]成绩单!B46,[1]Sheet1!$A:$K,4,0)</f>
        <v>精工2311</v>
      </c>
      <c r="E43" s="5">
        <v>45</v>
      </c>
      <c r="F43" s="7">
        <v>0.47368399999999999</v>
      </c>
      <c r="G43" s="8">
        <v>85.289400000000001</v>
      </c>
      <c r="H43" s="5">
        <v>68</v>
      </c>
      <c r="I43" s="5">
        <v>146</v>
      </c>
      <c r="J43" s="5">
        <v>1</v>
      </c>
      <c r="K43" s="5">
        <v>0</v>
      </c>
      <c r="L43" s="6" t="s">
        <v>27</v>
      </c>
      <c r="M43" s="6">
        <v>0.45</v>
      </c>
      <c r="N43" s="6">
        <v>3.5</v>
      </c>
      <c r="O43" s="6">
        <v>6.8</v>
      </c>
      <c r="P43" s="6">
        <v>4.9000000000000004</v>
      </c>
      <c r="Q43" s="6">
        <v>7.4</v>
      </c>
      <c r="R43" s="6"/>
      <c r="S43" s="6">
        <f>SUM(M43:Q43)</f>
        <v>23.05</v>
      </c>
      <c r="T43" s="6">
        <f>COUNTIFS($Y:$Y, Y43, $S:$S, "&gt;"&amp;S43) + 1</f>
        <v>37</v>
      </c>
      <c r="U43" s="6">
        <f>0.85*E43+T43*0.15</f>
        <v>43.8</v>
      </c>
      <c r="V43" s="6">
        <f>100.4-0.4*W43</f>
        <v>83.600000000000009</v>
      </c>
      <c r="W43" s="6">
        <f>COUNTIFS($Y:$Y, Y43, $U:$U, "&lt;"&amp;U43) + 1</f>
        <v>42</v>
      </c>
      <c r="X43" s="5">
        <v>95</v>
      </c>
      <c r="Y43" s="6" t="s">
        <v>28</v>
      </c>
      <c r="Z43" s="10"/>
    </row>
    <row r="44" spans="1:26">
      <c r="A44" s="4">
        <v>43</v>
      </c>
      <c r="B44" s="5">
        <v>1120232760</v>
      </c>
      <c r="C44" s="6" t="s">
        <v>70</v>
      </c>
      <c r="D44" s="6" t="str">
        <f>VLOOKUP([1]成绩单!B45,[1]Sheet1!$A:$K,4,0)</f>
        <v>精工2310</v>
      </c>
      <c r="E44" s="5">
        <v>44</v>
      </c>
      <c r="F44" s="7">
        <v>0.46315800000000001</v>
      </c>
      <c r="G44" s="8">
        <v>85.349100000000007</v>
      </c>
      <c r="H44" s="5">
        <v>64</v>
      </c>
      <c r="I44" s="9">
        <v>137.5</v>
      </c>
      <c r="J44" s="5">
        <v>0</v>
      </c>
      <c r="K44" s="5">
        <v>0</v>
      </c>
      <c r="L44" s="6" t="s">
        <v>27</v>
      </c>
      <c r="M44" s="6">
        <v>4.3</v>
      </c>
      <c r="N44" s="6">
        <v>2.6</v>
      </c>
      <c r="O44" s="6">
        <v>3.7</v>
      </c>
      <c r="P44" s="6">
        <v>2.2000000000000002</v>
      </c>
      <c r="Q44" s="6">
        <v>3</v>
      </c>
      <c r="R44" s="6"/>
      <c r="S44" s="6">
        <f>SUM(M44:Q44)</f>
        <v>15.8</v>
      </c>
      <c r="T44" s="6">
        <f>COUNTIFS($Y:$Y, Y44, $S:$S, "&gt;"&amp;S44) + 1</f>
        <v>46</v>
      </c>
      <c r="U44" s="6">
        <f>0.85*E44+T44*0.15</f>
        <v>44.3</v>
      </c>
      <c r="V44" s="6">
        <f>100.4-0.4*W44</f>
        <v>83.2</v>
      </c>
      <c r="W44" s="6">
        <f>COUNTIFS($Y:$Y, Y44, $U:$U, "&lt;"&amp;U44) + 1</f>
        <v>43</v>
      </c>
      <c r="X44" s="5">
        <v>95</v>
      </c>
      <c r="Y44" s="6" t="s">
        <v>28</v>
      </c>
      <c r="Z44" s="10"/>
    </row>
    <row r="45" spans="1:26">
      <c r="A45" s="4">
        <v>44</v>
      </c>
      <c r="B45" s="5">
        <v>1120231777</v>
      </c>
      <c r="C45" s="6" t="s">
        <v>71</v>
      </c>
      <c r="D45" s="6" t="str">
        <f>VLOOKUP([1]成绩单!B51,[1]Sheet1!$A:$K,4,0)</f>
        <v>精工2311</v>
      </c>
      <c r="E45" s="5">
        <v>50</v>
      </c>
      <c r="F45" s="7">
        <v>0.52631600000000001</v>
      </c>
      <c r="G45" s="8">
        <v>84.394800000000004</v>
      </c>
      <c r="H45" s="5">
        <v>64</v>
      </c>
      <c r="I45" s="9">
        <v>135.5</v>
      </c>
      <c r="J45" s="5">
        <v>0</v>
      </c>
      <c r="K45" s="5">
        <v>0</v>
      </c>
      <c r="L45" s="6" t="s">
        <v>27</v>
      </c>
      <c r="M45" s="6">
        <v>1.75</v>
      </c>
      <c r="N45" s="6">
        <v>10.7</v>
      </c>
      <c r="O45" s="6">
        <v>9.1999999999999993</v>
      </c>
      <c r="P45" s="6">
        <v>4.8</v>
      </c>
      <c r="Q45" s="6">
        <v>10.199999999999999</v>
      </c>
      <c r="R45" s="6"/>
      <c r="S45" s="6">
        <f>SUM(M45:Q45)</f>
        <v>36.65</v>
      </c>
      <c r="T45" s="6">
        <f>COUNTIFS($Y:$Y, Y45, $S:$S, "&gt;"&amp;S45) + 1</f>
        <v>17</v>
      </c>
      <c r="U45" s="6">
        <f>0.85*E45+T45*0.15</f>
        <v>45.05</v>
      </c>
      <c r="V45" s="6">
        <f>100.4-0.4*W45</f>
        <v>82.800000000000011</v>
      </c>
      <c r="W45" s="6">
        <f>COUNTIFS($Y:$Y, Y45, $U:$U, "&lt;"&amp;U45) + 1</f>
        <v>44</v>
      </c>
      <c r="X45" s="5">
        <v>95</v>
      </c>
      <c r="Y45" s="6" t="s">
        <v>28</v>
      </c>
      <c r="Z45" s="10"/>
    </row>
    <row r="46" spans="1:26">
      <c r="A46" s="4">
        <v>45</v>
      </c>
      <c r="B46" s="5">
        <v>1120231020</v>
      </c>
      <c r="C46" s="6" t="s">
        <v>72</v>
      </c>
      <c r="D46" s="6" t="str">
        <f>VLOOKUP([1]成绩单!B38,[1]Sheet1!$A:$K,4,0)</f>
        <v>精工2311</v>
      </c>
      <c r="E46" s="5">
        <v>37</v>
      </c>
      <c r="F46" s="7">
        <v>0.38947399999999999</v>
      </c>
      <c r="G46" s="8">
        <v>86.847200000000001</v>
      </c>
      <c r="H46" s="5">
        <v>61</v>
      </c>
      <c r="I46" s="9">
        <v>132.5</v>
      </c>
      <c r="J46" s="5">
        <v>0</v>
      </c>
      <c r="K46" s="5">
        <v>0</v>
      </c>
      <c r="L46" s="6" t="s">
        <v>27</v>
      </c>
      <c r="M46" s="6">
        <v>0</v>
      </c>
      <c r="N46" s="6">
        <v>0</v>
      </c>
      <c r="O46" s="6">
        <v>0</v>
      </c>
      <c r="P46" s="6">
        <v>0</v>
      </c>
      <c r="Q46" s="6">
        <v>0.5</v>
      </c>
      <c r="R46" s="6"/>
      <c r="S46" s="6">
        <f>SUM(M46:Q46)</f>
        <v>0.5</v>
      </c>
      <c r="T46" s="6">
        <f>COUNTIFS($Y:$Y, Y46, $S:$S, "&gt;"&amp;S46) + 1</f>
        <v>92</v>
      </c>
      <c r="U46" s="6">
        <f>0.85*E46+T46*0.15</f>
        <v>45.25</v>
      </c>
      <c r="V46" s="6">
        <f>100.4-0.4*W46</f>
        <v>82.4</v>
      </c>
      <c r="W46" s="6">
        <f>COUNTIFS($Y:$Y, Y46, $U:$U, "&lt;"&amp;U46) + 1</f>
        <v>45</v>
      </c>
      <c r="X46" s="5">
        <v>95</v>
      </c>
      <c r="Y46" s="6" t="s">
        <v>28</v>
      </c>
      <c r="Z46" s="10"/>
    </row>
    <row r="47" spans="1:26">
      <c r="A47" s="4">
        <v>46</v>
      </c>
      <c r="B47" s="5">
        <v>1120233420</v>
      </c>
      <c r="C47" s="6" t="s">
        <v>73</v>
      </c>
      <c r="D47" s="6" t="str">
        <f>VLOOKUP([1]成绩单!B44,[1]Sheet1!$A:$K,4,0)</f>
        <v>精工2311</v>
      </c>
      <c r="E47" s="5">
        <v>43</v>
      </c>
      <c r="F47" s="7">
        <v>0.45263199999999998</v>
      </c>
      <c r="G47" s="8">
        <v>85.436800000000005</v>
      </c>
      <c r="H47" s="5">
        <v>64</v>
      </c>
      <c r="I47" s="9">
        <v>138.5</v>
      </c>
      <c r="J47" s="5">
        <v>0</v>
      </c>
      <c r="K47" s="5">
        <v>0</v>
      </c>
      <c r="L47" s="6" t="s">
        <v>27</v>
      </c>
      <c r="M47" s="6">
        <v>3.5</v>
      </c>
      <c r="N47" s="6">
        <v>5.0999999999999996</v>
      </c>
      <c r="O47" s="6">
        <v>0.5</v>
      </c>
      <c r="P47" s="6">
        <v>0.5</v>
      </c>
      <c r="Q47" s="6">
        <v>1.2</v>
      </c>
      <c r="R47" s="6"/>
      <c r="S47" s="6">
        <f>SUM(M47:Q47)</f>
        <v>10.799999999999999</v>
      </c>
      <c r="T47" s="6">
        <f>COUNTIFS($Y:$Y, Y47, $S:$S, "&gt;"&amp;S47) + 1</f>
        <v>62</v>
      </c>
      <c r="U47" s="6">
        <f>0.85*E47+T47*0.15</f>
        <v>45.849999999999994</v>
      </c>
      <c r="V47" s="6">
        <f>100.4-0.4*W47</f>
        <v>82</v>
      </c>
      <c r="W47" s="6">
        <f>COUNTIFS($Y:$Y, Y47, $U:$U, "&lt;"&amp;U47) + 1</f>
        <v>46</v>
      </c>
      <c r="X47" s="5">
        <v>95</v>
      </c>
      <c r="Y47" s="6" t="s">
        <v>28</v>
      </c>
      <c r="Z47" s="10"/>
    </row>
    <row r="48" spans="1:26">
      <c r="A48" s="4">
        <v>47</v>
      </c>
      <c r="B48" s="5">
        <v>1120230418</v>
      </c>
      <c r="C48" s="6" t="s">
        <v>74</v>
      </c>
      <c r="D48" s="6" t="str">
        <f>VLOOKUP([1]成绩单!B40,[1]Sheet1!$A:$K,4,0)</f>
        <v>精工2312</v>
      </c>
      <c r="E48" s="5">
        <v>38</v>
      </c>
      <c r="F48" s="7">
        <v>0.4</v>
      </c>
      <c r="G48" s="8">
        <v>86.124499999999998</v>
      </c>
      <c r="H48" s="5">
        <v>63</v>
      </c>
      <c r="I48" s="9">
        <v>136.5</v>
      </c>
      <c r="J48" s="5">
        <v>0</v>
      </c>
      <c r="K48" s="5">
        <v>0</v>
      </c>
      <c r="L48" s="6" t="s">
        <v>27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/>
      <c r="S48" s="6">
        <f>SUM(M48:Q48)</f>
        <v>0</v>
      </c>
      <c r="T48" s="6">
        <f>COUNTIFS($Y:$Y, Y48, $S:$S, "&gt;"&amp;S48) + 1</f>
        <v>94</v>
      </c>
      <c r="U48" s="6">
        <f>0.85*E48+T48*0.15</f>
        <v>46.4</v>
      </c>
      <c r="V48" s="6">
        <f>100.4-0.4*W48</f>
        <v>81.600000000000009</v>
      </c>
      <c r="W48" s="6">
        <f>COUNTIFS($Y:$Y, Y48, $U:$U, "&lt;"&amp;U48) + 1</f>
        <v>47</v>
      </c>
      <c r="X48" s="5">
        <v>95</v>
      </c>
      <c r="Y48" s="6" t="s">
        <v>28</v>
      </c>
      <c r="Z48" s="10"/>
    </row>
    <row r="49" spans="1:26">
      <c r="A49" s="4">
        <v>48</v>
      </c>
      <c r="B49" s="5">
        <v>1120230997</v>
      </c>
      <c r="C49" s="6" t="s">
        <v>75</v>
      </c>
      <c r="D49" s="6" t="str">
        <f>VLOOKUP([1]成绩单!B50,[1]Sheet1!$A:$K,4,0)</f>
        <v>精工2313</v>
      </c>
      <c r="E49" s="5">
        <v>49</v>
      </c>
      <c r="F49" s="7">
        <v>0.51578900000000005</v>
      </c>
      <c r="G49" s="8">
        <v>84.430400000000006</v>
      </c>
      <c r="H49" s="5">
        <v>63</v>
      </c>
      <c r="I49" s="9">
        <v>136.5</v>
      </c>
      <c r="J49" s="5">
        <v>0</v>
      </c>
      <c r="K49" s="5">
        <v>0</v>
      </c>
      <c r="L49" s="6" t="s">
        <v>27</v>
      </c>
      <c r="M49" s="6">
        <v>3</v>
      </c>
      <c r="N49" s="6">
        <v>5.5</v>
      </c>
      <c r="O49" s="6">
        <v>4.8</v>
      </c>
      <c r="P49" s="6">
        <v>4.5</v>
      </c>
      <c r="Q49" s="6">
        <v>7.7</v>
      </c>
      <c r="R49" s="6"/>
      <c r="S49" s="6">
        <f>SUM(M49:Q49)</f>
        <v>25.5</v>
      </c>
      <c r="T49" s="6">
        <f>COUNTIFS($Y:$Y, Y49, $S:$S, "&gt;"&amp;S49) + 1</f>
        <v>32</v>
      </c>
      <c r="U49" s="6">
        <f>0.85*E49+T49*0.15</f>
        <v>46.449999999999996</v>
      </c>
      <c r="V49" s="6">
        <f>100.4-0.4*W49</f>
        <v>81.2</v>
      </c>
      <c r="W49" s="6">
        <f>COUNTIFS($Y:$Y, Y49, $U:$U, "&lt;"&amp;U49) + 1</f>
        <v>48</v>
      </c>
      <c r="X49" s="5">
        <v>95</v>
      </c>
      <c r="Y49" s="6" t="s">
        <v>28</v>
      </c>
      <c r="Z49" s="10"/>
    </row>
    <row r="50" spans="1:26">
      <c r="A50" s="4">
        <v>49</v>
      </c>
      <c r="B50" s="5">
        <v>1120232217</v>
      </c>
      <c r="C50" s="6" t="s">
        <v>76</v>
      </c>
      <c r="D50" s="6" t="str">
        <f>VLOOKUP([1]成绩单!B55,[1]Sheet1!$A:$K,4,0)</f>
        <v>精工2312</v>
      </c>
      <c r="E50" s="5">
        <v>54</v>
      </c>
      <c r="F50" s="7">
        <v>0.56842099999999995</v>
      </c>
      <c r="G50" s="8">
        <v>84.0929</v>
      </c>
      <c r="H50" s="5">
        <v>71</v>
      </c>
      <c r="I50" s="11">
        <v>150.75</v>
      </c>
      <c r="J50" s="5">
        <v>0</v>
      </c>
      <c r="K50" s="5">
        <v>0</v>
      </c>
      <c r="L50" s="6" t="s">
        <v>27</v>
      </c>
      <c r="M50" s="6">
        <v>2.6</v>
      </c>
      <c r="N50" s="6">
        <v>9.5</v>
      </c>
      <c r="O50" s="6">
        <v>12.4</v>
      </c>
      <c r="P50" s="6">
        <v>9.4</v>
      </c>
      <c r="Q50" s="6">
        <v>19.399999999999999</v>
      </c>
      <c r="R50" s="6"/>
      <c r="S50" s="6">
        <f>SUM(M50:Q50)</f>
        <v>53.3</v>
      </c>
      <c r="T50" s="6">
        <f>COUNTIFS($Y:$Y, Y50, $S:$S, "&gt;"&amp;S50) + 1</f>
        <v>4</v>
      </c>
      <c r="U50" s="6">
        <f>0.85*E50+T50*0.15</f>
        <v>46.5</v>
      </c>
      <c r="V50" s="6">
        <f>100.4-0.4*W50</f>
        <v>80.800000000000011</v>
      </c>
      <c r="W50" s="6">
        <f>COUNTIFS($Y:$Y, Y50, $U:$U, "&lt;"&amp;U50) + 1</f>
        <v>49</v>
      </c>
      <c r="X50" s="5">
        <v>95</v>
      </c>
      <c r="Y50" s="6" t="s">
        <v>28</v>
      </c>
      <c r="Z50" s="10"/>
    </row>
    <row r="51" spans="1:26">
      <c r="A51" s="4">
        <v>50</v>
      </c>
      <c r="B51" s="5">
        <v>1120233383</v>
      </c>
      <c r="C51" s="6" t="s">
        <v>77</v>
      </c>
      <c r="D51" s="6" t="str">
        <f>VLOOKUP([1]成绩单!B53,[1]Sheet1!$A:$K,4,0)</f>
        <v>精工2312</v>
      </c>
      <c r="E51" s="5">
        <v>52</v>
      </c>
      <c r="F51" s="7">
        <v>0.54736799999999997</v>
      </c>
      <c r="G51" s="8">
        <v>84.275099999999995</v>
      </c>
      <c r="H51" s="5">
        <v>62</v>
      </c>
      <c r="I51" s="9">
        <v>134.5</v>
      </c>
      <c r="J51" s="5">
        <v>1</v>
      </c>
      <c r="K51" s="5">
        <v>1</v>
      </c>
      <c r="L51" s="6" t="s">
        <v>27</v>
      </c>
      <c r="M51" s="6">
        <v>1.3</v>
      </c>
      <c r="N51" s="6">
        <v>2.7</v>
      </c>
      <c r="O51" s="6">
        <v>7</v>
      </c>
      <c r="P51" s="6">
        <v>4.2</v>
      </c>
      <c r="Q51" s="6">
        <v>10.5</v>
      </c>
      <c r="R51" s="6"/>
      <c r="S51" s="6">
        <f>SUM(M51:Q51)</f>
        <v>25.7</v>
      </c>
      <c r="T51" s="6">
        <f>COUNTIFS($Y:$Y, Y51, $S:$S, "&gt;"&amp;S51) + 1</f>
        <v>31</v>
      </c>
      <c r="U51" s="6">
        <f>0.85*E51+T51*0.15</f>
        <v>48.849999999999994</v>
      </c>
      <c r="V51" s="6">
        <f>100.4-0.4*W51</f>
        <v>80.400000000000006</v>
      </c>
      <c r="W51" s="6">
        <f>COUNTIFS($Y:$Y, Y51, $U:$U, "&lt;"&amp;U51) + 1</f>
        <v>50</v>
      </c>
      <c r="X51" s="5">
        <v>95</v>
      </c>
      <c r="Y51" s="6" t="s">
        <v>28</v>
      </c>
      <c r="Z51" s="10"/>
    </row>
    <row r="52" spans="1:26">
      <c r="A52" s="4">
        <v>51</v>
      </c>
      <c r="B52" s="5">
        <v>1120231425</v>
      </c>
      <c r="C52" s="6" t="s">
        <v>78</v>
      </c>
      <c r="D52" s="6" t="str">
        <f>VLOOKUP([1]成绩单!B58,[1]Sheet1!$A:$K,4,0)</f>
        <v>精工2312</v>
      </c>
      <c r="E52" s="5">
        <v>57</v>
      </c>
      <c r="F52" s="7">
        <v>0.6</v>
      </c>
      <c r="G52" s="8">
        <v>83.451999999999998</v>
      </c>
      <c r="H52" s="5">
        <v>63</v>
      </c>
      <c r="I52" s="9">
        <v>135.5</v>
      </c>
      <c r="J52" s="5">
        <v>0</v>
      </c>
      <c r="K52" s="5">
        <v>0</v>
      </c>
      <c r="L52" s="6" t="s">
        <v>27</v>
      </c>
      <c r="M52" s="6">
        <v>1.3</v>
      </c>
      <c r="N52" s="6">
        <v>6.45</v>
      </c>
      <c r="O52" s="6">
        <v>17.3</v>
      </c>
      <c r="P52" s="6">
        <v>14.1</v>
      </c>
      <c r="Q52" s="6">
        <v>8.65</v>
      </c>
      <c r="R52" s="6"/>
      <c r="S52" s="6">
        <f>SUM(M52:Q52)</f>
        <v>47.8</v>
      </c>
      <c r="T52" s="6">
        <f>COUNTIFS($Y:$Y, Y52, $S:$S, "&gt;"&amp;S52) + 1</f>
        <v>8</v>
      </c>
      <c r="U52" s="6">
        <f>0.85*E52+T52*0.15</f>
        <v>49.65</v>
      </c>
      <c r="V52" s="6">
        <f>100.4-0.4*W52</f>
        <v>80</v>
      </c>
      <c r="W52" s="6">
        <f>COUNTIFS($Y:$Y, Y52, $U:$U, "&lt;"&amp;U52) + 1</f>
        <v>51</v>
      </c>
      <c r="X52" s="5">
        <v>95</v>
      </c>
      <c r="Y52" s="6" t="s">
        <v>28</v>
      </c>
      <c r="Z52" s="10"/>
    </row>
    <row r="53" spans="1:26">
      <c r="A53" s="4">
        <v>52</v>
      </c>
      <c r="B53" s="5">
        <v>1120230980</v>
      </c>
      <c r="C53" s="6" t="s">
        <v>79</v>
      </c>
      <c r="D53" s="6" t="str">
        <f>VLOOKUP([1]成绩单!B47,[1]Sheet1!$A:$K,4,0)</f>
        <v>精工2311</v>
      </c>
      <c r="E53" s="5">
        <v>46</v>
      </c>
      <c r="F53" s="7">
        <v>0.484211</v>
      </c>
      <c r="G53" s="8">
        <v>85.125200000000007</v>
      </c>
      <c r="H53" s="5">
        <v>64</v>
      </c>
      <c r="I53" s="11">
        <v>137.75</v>
      </c>
      <c r="J53" s="5">
        <v>0</v>
      </c>
      <c r="K53" s="5">
        <v>0</v>
      </c>
      <c r="L53" s="6" t="s">
        <v>27</v>
      </c>
      <c r="M53" s="6">
        <v>1.7</v>
      </c>
      <c r="N53" s="6">
        <v>1</v>
      </c>
      <c r="O53" s="6">
        <v>2.2999999999999998</v>
      </c>
      <c r="P53" s="6">
        <v>3</v>
      </c>
      <c r="Q53" s="6">
        <v>0</v>
      </c>
      <c r="R53" s="6"/>
      <c r="S53" s="6">
        <f>SUM(M53:Q53)</f>
        <v>8</v>
      </c>
      <c r="T53" s="6">
        <f>COUNTIFS($Y:$Y, Y53, $S:$S, "&gt;"&amp;S53) + 1</f>
        <v>72</v>
      </c>
      <c r="U53" s="6">
        <f>0.85*E53+T53*0.15</f>
        <v>49.9</v>
      </c>
      <c r="V53" s="6">
        <f>100.4-0.4*W53</f>
        <v>79.600000000000009</v>
      </c>
      <c r="W53" s="6">
        <f>COUNTIFS($Y:$Y, Y53, $U:$U, "&lt;"&amp;U53) + 1</f>
        <v>52</v>
      </c>
      <c r="X53" s="5">
        <v>95</v>
      </c>
      <c r="Y53" s="6" t="s">
        <v>28</v>
      </c>
      <c r="Z53" s="10"/>
    </row>
    <row r="54" spans="1:26">
      <c r="A54" s="4">
        <v>53</v>
      </c>
      <c r="B54" s="5">
        <v>1120232298</v>
      </c>
      <c r="C54" s="6" t="s">
        <v>80</v>
      </c>
      <c r="D54" s="6" t="str">
        <f>VLOOKUP([1]成绩单!B49,[1]Sheet1!$A:$K,4,0)</f>
        <v>精工2313</v>
      </c>
      <c r="E54" s="5">
        <v>48</v>
      </c>
      <c r="F54" s="7">
        <v>0.50526300000000002</v>
      </c>
      <c r="G54" s="8">
        <v>84.505499999999998</v>
      </c>
      <c r="H54" s="5">
        <v>64</v>
      </c>
      <c r="I54" s="9">
        <v>137.5</v>
      </c>
      <c r="J54" s="5">
        <v>0</v>
      </c>
      <c r="K54" s="5">
        <v>0</v>
      </c>
      <c r="L54" s="6" t="s">
        <v>27</v>
      </c>
      <c r="M54" s="6">
        <v>1.5</v>
      </c>
      <c r="N54" s="6">
        <v>1</v>
      </c>
      <c r="O54" s="6">
        <v>4.2</v>
      </c>
      <c r="P54" s="6">
        <v>0.8</v>
      </c>
      <c r="Q54" s="6">
        <v>3</v>
      </c>
      <c r="R54" s="6"/>
      <c r="S54" s="6">
        <f>SUM(M54:Q54)</f>
        <v>10.5</v>
      </c>
      <c r="T54" s="6">
        <f>COUNTIFS($Y:$Y, Y54, $S:$S, "&gt;"&amp;S54) + 1</f>
        <v>64</v>
      </c>
      <c r="U54" s="6">
        <f>0.85*E54+T54*0.15</f>
        <v>50.4</v>
      </c>
      <c r="V54" s="6">
        <f>100.4-0.4*W54</f>
        <v>79.2</v>
      </c>
      <c r="W54" s="6">
        <f>COUNTIFS($Y:$Y, Y54, $U:$U, "&lt;"&amp;U54) + 1</f>
        <v>53</v>
      </c>
      <c r="X54" s="5">
        <v>95</v>
      </c>
      <c r="Y54" s="6" t="s">
        <v>28</v>
      </c>
      <c r="Z54" s="10"/>
    </row>
    <row r="55" spans="1:26">
      <c r="A55" s="4">
        <v>54</v>
      </c>
      <c r="B55" s="5">
        <v>1120230047</v>
      </c>
      <c r="C55" s="6" t="s">
        <v>81</v>
      </c>
      <c r="D55" s="6" t="str">
        <f>VLOOKUP([1]成绩单!B52,[1]Sheet1!$A:$K,4,0)</f>
        <v>精工2311</v>
      </c>
      <c r="E55" s="5">
        <v>51</v>
      </c>
      <c r="F55" s="7">
        <v>0.53684200000000004</v>
      </c>
      <c r="G55" s="8">
        <v>84.390299999999996</v>
      </c>
      <c r="H55" s="5">
        <v>62</v>
      </c>
      <c r="I55" s="9">
        <v>134.5</v>
      </c>
      <c r="J55" s="5">
        <v>0</v>
      </c>
      <c r="K55" s="5">
        <v>0</v>
      </c>
      <c r="L55" s="6" t="s">
        <v>27</v>
      </c>
      <c r="M55" s="6">
        <v>1.7</v>
      </c>
      <c r="N55" s="6">
        <v>5</v>
      </c>
      <c r="O55" s="6">
        <v>4</v>
      </c>
      <c r="P55" s="6">
        <v>3</v>
      </c>
      <c r="Q55" s="6">
        <v>1</v>
      </c>
      <c r="R55" s="6"/>
      <c r="S55" s="6">
        <f>SUM(M55:Q55)</f>
        <v>14.7</v>
      </c>
      <c r="T55" s="6">
        <f>COUNTIFS($Y:$Y, Y55, $S:$S, "&gt;"&amp;S55) + 1</f>
        <v>49</v>
      </c>
      <c r="U55" s="6">
        <f>0.85*E55+T55*0.15</f>
        <v>50.7</v>
      </c>
      <c r="V55" s="6">
        <f>100.4-0.4*W55</f>
        <v>78.800000000000011</v>
      </c>
      <c r="W55" s="6">
        <f>COUNTIFS($Y:$Y, Y55, $U:$U, "&lt;"&amp;U55) + 1</f>
        <v>54</v>
      </c>
      <c r="X55" s="5">
        <v>95</v>
      </c>
      <c r="Y55" s="6" t="s">
        <v>28</v>
      </c>
      <c r="Z55" s="10"/>
    </row>
    <row r="56" spans="1:26">
      <c r="A56" s="4">
        <v>55</v>
      </c>
      <c r="B56" s="5">
        <v>1120232911</v>
      </c>
      <c r="C56" s="6" t="s">
        <v>82</v>
      </c>
      <c r="D56" s="6" t="str">
        <f>VLOOKUP([1]成绩单!B60,[1]Sheet1!$A:$K,4,0)</f>
        <v>精工2310</v>
      </c>
      <c r="E56" s="5">
        <v>59</v>
      </c>
      <c r="F56" s="7">
        <v>0.62105299999999997</v>
      </c>
      <c r="G56" s="8">
        <v>82.811400000000006</v>
      </c>
      <c r="H56" s="5">
        <v>67</v>
      </c>
      <c r="I56" s="9">
        <v>144.5</v>
      </c>
      <c r="J56" s="5">
        <v>0</v>
      </c>
      <c r="K56" s="5">
        <v>0</v>
      </c>
      <c r="L56" s="6" t="s">
        <v>27</v>
      </c>
      <c r="M56" s="6">
        <v>3.9</v>
      </c>
      <c r="N56" s="6">
        <v>3.9</v>
      </c>
      <c r="O56" s="6">
        <v>18.2</v>
      </c>
      <c r="P56" s="6">
        <v>9.6999999999999993</v>
      </c>
      <c r="Q56" s="6">
        <v>17.3</v>
      </c>
      <c r="R56" s="6"/>
      <c r="S56" s="6">
        <f>SUM(M56:Q56)</f>
        <v>53</v>
      </c>
      <c r="T56" s="6">
        <f>COUNTIFS($Y:$Y, Y56, $S:$S, "&gt;"&amp;S56) + 1</f>
        <v>5</v>
      </c>
      <c r="U56" s="6">
        <f>0.85*E56+T56*0.15</f>
        <v>50.9</v>
      </c>
      <c r="V56" s="6">
        <f>100.4-0.4*W56</f>
        <v>78.400000000000006</v>
      </c>
      <c r="W56" s="6">
        <f>COUNTIFS($Y:$Y, Y56, $U:$U, "&lt;"&amp;U56) + 1</f>
        <v>55</v>
      </c>
      <c r="X56" s="5">
        <v>95</v>
      </c>
      <c r="Y56" s="6" t="s">
        <v>28</v>
      </c>
      <c r="Z56" s="10"/>
    </row>
    <row r="57" spans="1:26">
      <c r="A57" s="4">
        <v>56</v>
      </c>
      <c r="B57" s="5">
        <v>1120232054</v>
      </c>
      <c r="C57" s="6" t="s">
        <v>83</v>
      </c>
      <c r="D57" s="6" t="str">
        <f>VLOOKUP([1]成绩单!B54,[1]Sheet1!$A:$K,4,0)</f>
        <v>精工2313</v>
      </c>
      <c r="E57" s="5">
        <v>53</v>
      </c>
      <c r="F57" s="7">
        <v>0.55789500000000003</v>
      </c>
      <c r="G57" s="8">
        <v>84.100700000000003</v>
      </c>
      <c r="H57" s="5">
        <v>63</v>
      </c>
      <c r="I57" s="9">
        <v>136.5</v>
      </c>
      <c r="J57" s="5">
        <v>0</v>
      </c>
      <c r="K57" s="5">
        <v>0</v>
      </c>
      <c r="L57" s="6" t="s">
        <v>27</v>
      </c>
      <c r="M57" s="6">
        <v>0.55000000000000004</v>
      </c>
      <c r="N57" s="6">
        <v>1.5</v>
      </c>
      <c r="O57" s="6">
        <v>1.8</v>
      </c>
      <c r="P57" s="6">
        <v>1</v>
      </c>
      <c r="Q57" s="6">
        <v>5</v>
      </c>
      <c r="R57" s="6"/>
      <c r="S57" s="6">
        <f>SUM(M57:Q57)</f>
        <v>9.85</v>
      </c>
      <c r="T57" s="6">
        <f>COUNTIFS($Y:$Y, Y57, $S:$S, "&gt;"&amp;S57) + 1</f>
        <v>66</v>
      </c>
      <c r="U57" s="6">
        <f>0.85*E57+T57*0.15</f>
        <v>54.949999999999996</v>
      </c>
      <c r="V57" s="6">
        <f>100.4-0.4*W57</f>
        <v>78</v>
      </c>
      <c r="W57" s="6">
        <f>COUNTIFS($Y:$Y, Y57, $U:$U, "&lt;"&amp;U57) + 1</f>
        <v>56</v>
      </c>
      <c r="X57" s="5">
        <v>95</v>
      </c>
      <c r="Y57" s="6" t="s">
        <v>28</v>
      </c>
      <c r="Z57" s="10"/>
    </row>
    <row r="58" spans="1:26">
      <c r="A58" s="4">
        <v>57</v>
      </c>
      <c r="B58" s="5">
        <v>1120231766</v>
      </c>
      <c r="C58" s="6" t="s">
        <v>84</v>
      </c>
      <c r="D58" s="6" t="str">
        <f>VLOOKUP([1]成绩单!B56,[1]Sheet1!$A:$K,4,0)</f>
        <v>精工2312</v>
      </c>
      <c r="E58" s="5">
        <v>55</v>
      </c>
      <c r="F58" s="7">
        <v>0.57894699999999999</v>
      </c>
      <c r="G58" s="8">
        <v>84.039000000000001</v>
      </c>
      <c r="H58" s="5">
        <v>62</v>
      </c>
      <c r="I58" s="9">
        <v>134.5</v>
      </c>
      <c r="J58" s="5">
        <v>0</v>
      </c>
      <c r="K58" s="5">
        <v>0</v>
      </c>
      <c r="L58" s="6" t="s">
        <v>27</v>
      </c>
      <c r="M58" s="6">
        <v>2.65</v>
      </c>
      <c r="N58" s="6">
        <v>1.2</v>
      </c>
      <c r="O58" s="6">
        <v>1.2250000000000001</v>
      </c>
      <c r="P58" s="6">
        <v>1.2</v>
      </c>
      <c r="Q58" s="6">
        <v>2.35</v>
      </c>
      <c r="R58" s="6"/>
      <c r="S58" s="6">
        <f>SUM(M58:Q58)</f>
        <v>8.625</v>
      </c>
      <c r="T58" s="6">
        <f>COUNTIFS($Y:$Y, Y58, $S:$S, "&gt;"&amp;S58) + 1</f>
        <v>70</v>
      </c>
      <c r="U58" s="6">
        <f>0.85*E58+T58*0.15</f>
        <v>57.25</v>
      </c>
      <c r="V58" s="6">
        <f>100.4-0.4*W58</f>
        <v>77.600000000000009</v>
      </c>
      <c r="W58" s="6">
        <f>COUNTIFS($Y:$Y, Y58, $U:$U, "&lt;"&amp;U58) + 1</f>
        <v>57</v>
      </c>
      <c r="X58" s="5">
        <v>95</v>
      </c>
      <c r="Y58" s="6" t="s">
        <v>28</v>
      </c>
      <c r="Z58" s="10"/>
    </row>
    <row r="59" spans="1:26">
      <c r="A59" s="4">
        <v>58</v>
      </c>
      <c r="B59" s="5">
        <v>1120231638</v>
      </c>
      <c r="C59" s="6" t="s">
        <v>85</v>
      </c>
      <c r="D59" s="6" t="str">
        <f>VLOOKUP([1]成绩单!B64,[1]Sheet1!$A:$K,4,0)</f>
        <v>精工2313</v>
      </c>
      <c r="E59" s="5">
        <v>63</v>
      </c>
      <c r="F59" s="7">
        <v>0.66315800000000003</v>
      </c>
      <c r="G59" s="8">
        <v>81.773700000000005</v>
      </c>
      <c r="H59" s="5">
        <v>63</v>
      </c>
      <c r="I59" s="5">
        <v>137</v>
      </c>
      <c r="J59" s="5">
        <v>0</v>
      </c>
      <c r="K59" s="5">
        <v>0</v>
      </c>
      <c r="L59" s="6" t="s">
        <v>27</v>
      </c>
      <c r="M59" s="6">
        <v>2.7</v>
      </c>
      <c r="N59" s="6">
        <v>1.35</v>
      </c>
      <c r="O59" s="6">
        <v>11.3</v>
      </c>
      <c r="P59" s="6">
        <v>3.6</v>
      </c>
      <c r="Q59" s="6">
        <v>7.4</v>
      </c>
      <c r="R59" s="6"/>
      <c r="S59" s="6">
        <f>SUM(M59:Q59)</f>
        <v>26.35</v>
      </c>
      <c r="T59" s="6">
        <f>COUNTIFS($Y:$Y, Y59, $S:$S, "&gt;"&amp;S59) + 1</f>
        <v>27</v>
      </c>
      <c r="U59" s="6">
        <f>0.85*E59+T59*0.15</f>
        <v>57.599999999999994</v>
      </c>
      <c r="V59" s="6">
        <f>100.4-0.4*W59</f>
        <v>77.2</v>
      </c>
      <c r="W59" s="6">
        <f>COUNTIFS($Y:$Y, Y59, $U:$U, "&lt;"&amp;U59) + 1</f>
        <v>58</v>
      </c>
      <c r="X59" s="5">
        <v>95</v>
      </c>
      <c r="Y59" s="6" t="s">
        <v>28</v>
      </c>
      <c r="Z59" s="10"/>
    </row>
    <row r="60" spans="1:26">
      <c r="A60" s="4">
        <v>59</v>
      </c>
      <c r="B60" s="5">
        <v>1120230989</v>
      </c>
      <c r="C60" s="6" t="s">
        <v>86</v>
      </c>
      <c r="D60" s="6" t="str">
        <f>VLOOKUP([1]成绩单!B62,[1]Sheet1!$A:$K,4,0)</f>
        <v>精工2310</v>
      </c>
      <c r="E60" s="5">
        <v>61</v>
      </c>
      <c r="F60" s="7">
        <v>0.64210500000000004</v>
      </c>
      <c r="G60" s="8">
        <v>82.324200000000005</v>
      </c>
      <c r="H60" s="5">
        <v>63</v>
      </c>
      <c r="I60" s="9">
        <v>136.5</v>
      </c>
      <c r="J60" s="5">
        <v>0</v>
      </c>
      <c r="K60" s="5">
        <v>0</v>
      </c>
      <c r="L60" s="6" t="s">
        <v>27</v>
      </c>
      <c r="M60" s="6">
        <v>0.2</v>
      </c>
      <c r="N60" s="6">
        <v>0.8</v>
      </c>
      <c r="O60" s="6">
        <v>2.5</v>
      </c>
      <c r="P60" s="6">
        <v>3</v>
      </c>
      <c r="Q60" s="6">
        <v>5.5</v>
      </c>
      <c r="R60" s="6"/>
      <c r="S60" s="6">
        <f>SUM(M60:Q60)</f>
        <v>12</v>
      </c>
      <c r="T60" s="6">
        <f>COUNTIFS($Y:$Y, Y60, $S:$S, "&gt;"&amp;S60) + 1</f>
        <v>58</v>
      </c>
      <c r="U60" s="6">
        <f>0.85*E60+T60*0.15</f>
        <v>60.55</v>
      </c>
      <c r="V60" s="6">
        <f>100.4-0.4*W60</f>
        <v>76.800000000000011</v>
      </c>
      <c r="W60" s="6">
        <f>COUNTIFS($Y:$Y, Y60, $U:$U, "&lt;"&amp;U60) + 1</f>
        <v>59</v>
      </c>
      <c r="X60" s="5">
        <v>95</v>
      </c>
      <c r="Y60" s="6" t="s">
        <v>28</v>
      </c>
      <c r="Z60" s="10"/>
    </row>
    <row r="61" spans="1:26">
      <c r="A61" s="4">
        <v>60</v>
      </c>
      <c r="B61" s="5">
        <v>1120230721</v>
      </c>
      <c r="C61" s="6" t="s">
        <v>87</v>
      </c>
      <c r="D61" s="6" t="str">
        <f>VLOOKUP([1]成绩单!B61,[1]Sheet1!$A:$K,4,0)</f>
        <v>精工2310</v>
      </c>
      <c r="E61" s="5">
        <v>60</v>
      </c>
      <c r="F61" s="7">
        <v>0.631579</v>
      </c>
      <c r="G61" s="8">
        <v>82.730199999999996</v>
      </c>
      <c r="H61" s="5">
        <v>61</v>
      </c>
      <c r="I61" s="9">
        <v>132.5</v>
      </c>
      <c r="J61" s="5">
        <v>0</v>
      </c>
      <c r="K61" s="5">
        <v>0</v>
      </c>
      <c r="L61" s="6" t="s">
        <v>27</v>
      </c>
      <c r="M61" s="6">
        <v>2.15</v>
      </c>
      <c r="N61" s="6">
        <v>2.2999999999999998</v>
      </c>
      <c r="O61" s="6">
        <v>3.5</v>
      </c>
      <c r="P61" s="6">
        <v>2.5</v>
      </c>
      <c r="Q61" s="6">
        <v>0</v>
      </c>
      <c r="R61" s="6"/>
      <c r="S61" s="6">
        <f>SUM(M61:Q61)</f>
        <v>10.45</v>
      </c>
      <c r="T61" s="6">
        <f>COUNTIFS($Y:$Y, Y61, $S:$S, "&gt;"&amp;S61) + 1</f>
        <v>65</v>
      </c>
      <c r="U61" s="6">
        <f>0.85*E61+T61*0.15</f>
        <v>60.75</v>
      </c>
      <c r="V61" s="6">
        <f>100.4-0.4*W61</f>
        <v>76.400000000000006</v>
      </c>
      <c r="W61" s="6">
        <f>COUNTIFS($Y:$Y, Y61, $U:$U, "&lt;"&amp;U61) + 1</f>
        <v>60</v>
      </c>
      <c r="X61" s="5">
        <v>95</v>
      </c>
      <c r="Y61" s="6" t="s">
        <v>28</v>
      </c>
      <c r="Z61" s="10"/>
    </row>
    <row r="62" spans="1:26">
      <c r="A62" s="4">
        <v>61</v>
      </c>
      <c r="B62" s="5">
        <v>1120232876</v>
      </c>
      <c r="C62" s="6" t="s">
        <v>88</v>
      </c>
      <c r="D62" s="6" t="str">
        <f>VLOOKUP([1]成绩单!B57,[1]Sheet1!$A:$K,4,0)</f>
        <v>精工2312</v>
      </c>
      <c r="E62" s="5">
        <v>56</v>
      </c>
      <c r="F62" s="7">
        <v>0.58947400000000005</v>
      </c>
      <c r="G62" s="8">
        <v>83.829700000000003</v>
      </c>
      <c r="H62" s="5">
        <v>65</v>
      </c>
      <c r="I62" s="9">
        <v>139.5</v>
      </c>
      <c r="J62" s="5">
        <v>0</v>
      </c>
      <c r="K62" s="5">
        <v>0</v>
      </c>
      <c r="L62" s="6" t="s">
        <v>27</v>
      </c>
      <c r="M62" s="6">
        <v>0</v>
      </c>
      <c r="N62" s="6">
        <v>-0.5</v>
      </c>
      <c r="O62" s="6">
        <v>0.15</v>
      </c>
      <c r="P62" s="6">
        <v>0.5</v>
      </c>
      <c r="Q62" s="6">
        <v>0</v>
      </c>
      <c r="R62" s="6"/>
      <c r="S62" s="6">
        <f>SUM(M62:Q62)</f>
        <v>0.15000000000000002</v>
      </c>
      <c r="T62" s="6">
        <f>COUNTIFS($Y:$Y, Y62, $S:$S, "&gt;"&amp;S62) + 1</f>
        <v>93</v>
      </c>
      <c r="U62" s="6">
        <f>0.85*E62+T62*0.15</f>
        <v>61.55</v>
      </c>
      <c r="V62" s="6">
        <f>100.4-0.4*W62</f>
        <v>76</v>
      </c>
      <c r="W62" s="6">
        <f>COUNTIFS($Y:$Y, Y62, $U:$U, "&lt;"&amp;U62) + 1</f>
        <v>61</v>
      </c>
      <c r="X62" s="5">
        <v>95</v>
      </c>
      <c r="Y62" s="6" t="s">
        <v>28</v>
      </c>
      <c r="Z62" s="10"/>
    </row>
    <row r="63" spans="1:26">
      <c r="A63" s="4">
        <v>62</v>
      </c>
      <c r="B63" s="5">
        <v>1120231189</v>
      </c>
      <c r="C63" s="6" t="s">
        <v>89</v>
      </c>
      <c r="D63" s="6" t="str">
        <f>VLOOKUP([1]成绩单!B59,[1]Sheet1!$A:$K,4,0)</f>
        <v>精工2313</v>
      </c>
      <c r="E63" s="5">
        <v>58</v>
      </c>
      <c r="F63" s="7">
        <v>0.61052600000000001</v>
      </c>
      <c r="G63" s="8">
        <v>82.862300000000005</v>
      </c>
      <c r="H63" s="5">
        <v>61</v>
      </c>
      <c r="I63" s="9">
        <v>132.5</v>
      </c>
      <c r="J63" s="5">
        <v>0</v>
      </c>
      <c r="K63" s="5">
        <v>0</v>
      </c>
      <c r="L63" s="6" t="s">
        <v>27</v>
      </c>
      <c r="M63" s="6">
        <v>0</v>
      </c>
      <c r="N63" s="6">
        <v>0.2</v>
      </c>
      <c r="O63" s="6">
        <v>1.2</v>
      </c>
      <c r="P63" s="6">
        <v>0.7</v>
      </c>
      <c r="Q63" s="6">
        <v>0.2</v>
      </c>
      <c r="R63" s="6"/>
      <c r="S63" s="6">
        <f>SUM(M63:Q63)</f>
        <v>2.2999999999999998</v>
      </c>
      <c r="T63" s="6">
        <f>COUNTIFS($Y:$Y, Y63, $S:$S, "&gt;"&amp;S63) + 1</f>
        <v>88</v>
      </c>
      <c r="U63" s="6">
        <f>0.85*E63+T63*0.15</f>
        <v>62.5</v>
      </c>
      <c r="V63" s="6">
        <f>100.4-0.4*W63</f>
        <v>75.600000000000009</v>
      </c>
      <c r="W63" s="6">
        <f>COUNTIFS($Y:$Y, Y63, $U:$U, "&lt;"&amp;U63) + 1</f>
        <v>62</v>
      </c>
      <c r="X63" s="5">
        <v>95</v>
      </c>
      <c r="Y63" s="6" t="s">
        <v>28</v>
      </c>
      <c r="Z63" s="10"/>
    </row>
    <row r="64" spans="1:26">
      <c r="A64" s="4">
        <v>63</v>
      </c>
      <c r="B64" s="12">
        <v>1120232909</v>
      </c>
      <c r="C64" s="13" t="s">
        <v>90</v>
      </c>
      <c r="D64" s="6" t="str">
        <f>VLOOKUP([1]成绩单!B67,[1]Sheet1!$A:$K,4,0)</f>
        <v>精工2310</v>
      </c>
      <c r="E64" s="12">
        <v>66</v>
      </c>
      <c r="F64" s="14">
        <v>0.69473700000000005</v>
      </c>
      <c r="G64" s="15">
        <v>81.220799999999997</v>
      </c>
      <c r="H64" s="12">
        <v>61</v>
      </c>
      <c r="I64" s="16">
        <v>132.5</v>
      </c>
      <c r="J64" s="12">
        <v>0</v>
      </c>
      <c r="K64" s="12">
        <v>0</v>
      </c>
      <c r="L64" s="13" t="s">
        <v>27</v>
      </c>
      <c r="M64" s="6">
        <v>1.6</v>
      </c>
      <c r="N64" s="6">
        <v>3.3</v>
      </c>
      <c r="O64" s="6">
        <v>2.6</v>
      </c>
      <c r="P64" s="6">
        <v>5</v>
      </c>
      <c r="Q64" s="6">
        <v>1</v>
      </c>
      <c r="R64" s="13"/>
      <c r="S64" s="6">
        <f>SUM(M64:Q64)</f>
        <v>13.5</v>
      </c>
      <c r="T64" s="6">
        <f>COUNTIFS($Y:$Y, Y64, $S:$S, "&gt;"&amp;S64) + 1</f>
        <v>51</v>
      </c>
      <c r="U64" s="6">
        <f>0.85*E64+T64*0.15</f>
        <v>63.75</v>
      </c>
      <c r="V64" s="6">
        <f>100.4-0.4*W64</f>
        <v>75.2</v>
      </c>
      <c r="W64" s="6">
        <f>COUNTIFS($Y:$Y, Y64, $U:$U, "&lt;"&amp;U64) + 1</f>
        <v>63</v>
      </c>
      <c r="X64" s="12">
        <v>95</v>
      </c>
      <c r="Y64" s="13" t="s">
        <v>28</v>
      </c>
      <c r="Z64" s="17"/>
    </row>
    <row r="65" spans="1:26">
      <c r="A65" s="4">
        <v>64</v>
      </c>
      <c r="B65" s="5">
        <v>1120232303</v>
      </c>
      <c r="C65" s="6" t="s">
        <v>91</v>
      </c>
      <c r="D65" s="6" t="str">
        <f>VLOOKUP([1]成绩单!B66,[1]Sheet1!$A:$K,4,0)</f>
        <v>精工2311</v>
      </c>
      <c r="E65" s="5">
        <v>65</v>
      </c>
      <c r="F65" s="7">
        <v>0.68421100000000001</v>
      </c>
      <c r="G65" s="8">
        <v>81.635499999999993</v>
      </c>
      <c r="H65" s="5">
        <v>63</v>
      </c>
      <c r="I65" s="9">
        <v>136.5</v>
      </c>
      <c r="J65" s="5">
        <v>0</v>
      </c>
      <c r="K65" s="5">
        <v>0</v>
      </c>
      <c r="L65" s="6" t="s">
        <v>27</v>
      </c>
      <c r="M65" s="6">
        <v>2.1</v>
      </c>
      <c r="N65" s="6">
        <v>3.3</v>
      </c>
      <c r="O65" s="6">
        <v>4.2</v>
      </c>
      <c r="P65" s="6">
        <v>0</v>
      </c>
      <c r="Q65" s="6">
        <v>1.2</v>
      </c>
      <c r="R65" s="6"/>
      <c r="S65" s="6">
        <f>SUM(M65:Q65)</f>
        <v>10.8</v>
      </c>
      <c r="T65" s="6">
        <f>COUNTIFS($Y:$Y, Y65, $S:$S, "&gt;"&amp;S65) + 1</f>
        <v>62</v>
      </c>
      <c r="U65" s="6">
        <f>0.85*E65+T65*0.15</f>
        <v>64.55</v>
      </c>
      <c r="V65" s="6">
        <f>100.4-0.4*W65</f>
        <v>74.800000000000011</v>
      </c>
      <c r="W65" s="6">
        <f>COUNTIFS($Y:$Y, Y65, $U:$U, "&lt;"&amp;U65) + 1</f>
        <v>64</v>
      </c>
      <c r="X65" s="5">
        <v>95</v>
      </c>
      <c r="Y65" s="6" t="s">
        <v>28</v>
      </c>
      <c r="Z65" s="10"/>
    </row>
    <row r="66" spans="1:26">
      <c r="A66" s="4">
        <v>65</v>
      </c>
      <c r="B66" s="5">
        <v>1120230582</v>
      </c>
      <c r="C66" s="6" t="s">
        <v>92</v>
      </c>
      <c r="D66" s="6" t="str">
        <f>VLOOKUP([1]成绩单!B71,[1]Sheet1!$A:$K,4,0)</f>
        <v>精工2313</v>
      </c>
      <c r="E66" s="5">
        <v>70</v>
      </c>
      <c r="F66" s="7">
        <v>0.736842</v>
      </c>
      <c r="G66" s="8">
        <v>80.915099999999995</v>
      </c>
      <c r="H66" s="5">
        <v>61</v>
      </c>
      <c r="I66" s="9">
        <v>132.5</v>
      </c>
      <c r="J66" s="5">
        <v>0</v>
      </c>
      <c r="K66" s="5">
        <v>0</v>
      </c>
      <c r="L66" s="6" t="s">
        <v>27</v>
      </c>
      <c r="M66" s="6">
        <v>1.05</v>
      </c>
      <c r="N66" s="6">
        <v>4.04</v>
      </c>
      <c r="O66" s="6">
        <v>6.6</v>
      </c>
      <c r="P66" s="6">
        <v>10.3</v>
      </c>
      <c r="Q66" s="6">
        <v>1.5</v>
      </c>
      <c r="R66" s="6"/>
      <c r="S66" s="6">
        <f>SUM(M66:Q66)</f>
        <v>23.490000000000002</v>
      </c>
      <c r="T66" s="6">
        <f>COUNTIFS($Y:$Y, Y66, $S:$S, "&gt;"&amp;S66) + 1</f>
        <v>35</v>
      </c>
      <c r="U66" s="6">
        <f>0.85*E66+T66*0.15</f>
        <v>64.75</v>
      </c>
      <c r="V66" s="6">
        <f>100.4-0.4*W66</f>
        <v>74.400000000000006</v>
      </c>
      <c r="W66" s="6">
        <f>COUNTIFS($Y:$Y, Y66, $U:$U, "&lt;"&amp;U66) + 1</f>
        <v>65</v>
      </c>
      <c r="X66" s="5">
        <v>95</v>
      </c>
      <c r="Y66" s="6" t="s">
        <v>28</v>
      </c>
      <c r="Z66" s="10"/>
    </row>
    <row r="67" spans="1:26">
      <c r="A67" s="4">
        <v>66</v>
      </c>
      <c r="B67" s="5">
        <v>1120230715</v>
      </c>
      <c r="C67" s="6" t="s">
        <v>93</v>
      </c>
      <c r="D67" s="6" t="str">
        <f>VLOOKUP([1]成绩单!B70,[1]Sheet1!$A:$K,4,0)</f>
        <v>精工2310</v>
      </c>
      <c r="E67" s="5">
        <v>69</v>
      </c>
      <c r="F67" s="7">
        <v>0.72631599999999996</v>
      </c>
      <c r="G67" s="8">
        <v>80.982100000000003</v>
      </c>
      <c r="H67" s="5">
        <v>66</v>
      </c>
      <c r="I67" s="9">
        <v>139.5</v>
      </c>
      <c r="J67" s="5">
        <v>0</v>
      </c>
      <c r="K67" s="5">
        <v>0</v>
      </c>
      <c r="L67" s="6" t="s">
        <v>27</v>
      </c>
      <c r="M67" s="6">
        <v>6.9</v>
      </c>
      <c r="N67" s="6">
        <v>0.8</v>
      </c>
      <c r="O67" s="6">
        <v>1.8</v>
      </c>
      <c r="P67" s="6">
        <v>2.9</v>
      </c>
      <c r="Q67" s="6">
        <v>4.5</v>
      </c>
      <c r="R67" s="6"/>
      <c r="S67" s="6">
        <f>SUM(M67:Q67)</f>
        <v>16.899999999999999</v>
      </c>
      <c r="T67" s="6">
        <f>COUNTIFS($Y:$Y, Y67, $S:$S, "&gt;"&amp;S67) + 1</f>
        <v>43</v>
      </c>
      <c r="U67" s="6">
        <f>0.85*E67+T67*0.15</f>
        <v>65.099999999999994</v>
      </c>
      <c r="V67" s="6">
        <f>100.4-0.4*W67</f>
        <v>74</v>
      </c>
      <c r="W67" s="6">
        <f>COUNTIFS($Y:$Y, Y67, $U:$U, "&lt;"&amp;U67) + 1</f>
        <v>66</v>
      </c>
      <c r="X67" s="5">
        <v>95</v>
      </c>
      <c r="Y67" s="6" t="s">
        <v>28</v>
      </c>
      <c r="Z67" s="10"/>
    </row>
    <row r="68" spans="1:26">
      <c r="A68" s="4">
        <v>67</v>
      </c>
      <c r="B68" s="5">
        <v>1120231022</v>
      </c>
      <c r="C68" s="6" t="s">
        <v>94</v>
      </c>
      <c r="D68" s="6" t="str">
        <f>VLOOKUP([1]成绩单!B63,[1]Sheet1!$A:$K,4,0)</f>
        <v>精工2310</v>
      </c>
      <c r="E68" s="5">
        <v>62</v>
      </c>
      <c r="F68" s="7">
        <v>0.65263199999999999</v>
      </c>
      <c r="G68" s="8">
        <v>82.167900000000003</v>
      </c>
      <c r="H68" s="5">
        <v>65</v>
      </c>
      <c r="I68" s="9">
        <v>138.5</v>
      </c>
      <c r="J68" s="5">
        <v>0</v>
      </c>
      <c r="K68" s="5">
        <v>0</v>
      </c>
      <c r="L68" s="6" t="s">
        <v>27</v>
      </c>
      <c r="M68" s="6">
        <v>0</v>
      </c>
      <c r="N68" s="6">
        <v>0.1</v>
      </c>
      <c r="O68" s="6">
        <v>1</v>
      </c>
      <c r="P68" s="6">
        <v>1.35</v>
      </c>
      <c r="Q68" s="6">
        <v>0</v>
      </c>
      <c r="R68" s="6"/>
      <c r="S68" s="6">
        <f>SUM(M68:Q68)</f>
        <v>2.4500000000000002</v>
      </c>
      <c r="T68" s="6">
        <f>COUNTIFS($Y:$Y, Y68, $S:$S, "&gt;"&amp;S68) + 1</f>
        <v>87</v>
      </c>
      <c r="U68" s="6">
        <f>0.85*E68+T68*0.15</f>
        <v>65.75</v>
      </c>
      <c r="V68" s="6">
        <f>100.4-0.4*W68</f>
        <v>73.600000000000009</v>
      </c>
      <c r="W68" s="6">
        <f>COUNTIFS($Y:$Y, Y68, $U:$U, "&lt;"&amp;U68) + 1</f>
        <v>67</v>
      </c>
      <c r="X68" s="5">
        <v>95</v>
      </c>
      <c r="Y68" s="6" t="s">
        <v>28</v>
      </c>
      <c r="Z68" s="10"/>
    </row>
    <row r="69" spans="1:26">
      <c r="A69" s="4">
        <v>68</v>
      </c>
      <c r="B69" s="5">
        <v>1120232215</v>
      </c>
      <c r="C69" s="6" t="s">
        <v>95</v>
      </c>
      <c r="D69" s="6" t="str">
        <f>VLOOKUP([1]成绩单!B68,[1]Sheet1!$A:$K,4,0)</f>
        <v>精工2310</v>
      </c>
      <c r="E69" s="5">
        <v>67</v>
      </c>
      <c r="F69" s="7">
        <v>0.70526299999999997</v>
      </c>
      <c r="G69" s="8">
        <v>81.0608</v>
      </c>
      <c r="H69" s="5">
        <v>63</v>
      </c>
      <c r="I69" s="11">
        <v>135.75</v>
      </c>
      <c r="J69" s="5">
        <v>0</v>
      </c>
      <c r="K69" s="5">
        <v>0</v>
      </c>
      <c r="L69" s="6" t="s">
        <v>96</v>
      </c>
      <c r="M69" s="6">
        <v>1.2</v>
      </c>
      <c r="N69" s="6">
        <v>2.4</v>
      </c>
      <c r="O69" s="6">
        <v>2.2000000000000002</v>
      </c>
      <c r="P69" s="6">
        <v>5.09</v>
      </c>
      <c r="Q69" s="6">
        <v>0.2</v>
      </c>
      <c r="R69" s="6"/>
      <c r="S69" s="6">
        <f>SUM(M69:Q69)</f>
        <v>11.09</v>
      </c>
      <c r="T69" s="6">
        <f>COUNTIFS($Y:$Y, Y69, $S:$S, "&gt;"&amp;S69) + 1</f>
        <v>61</v>
      </c>
      <c r="U69" s="6">
        <f>0.85*E69+T69*0.15</f>
        <v>66.099999999999994</v>
      </c>
      <c r="V69" s="6">
        <f>100.4-0.4*W69</f>
        <v>73.2</v>
      </c>
      <c r="W69" s="6">
        <f>COUNTIFS($Y:$Y, Y69, $U:$U, "&lt;"&amp;U69) + 1</f>
        <v>68</v>
      </c>
      <c r="X69" s="5">
        <v>95</v>
      </c>
      <c r="Y69" s="6" t="s">
        <v>28</v>
      </c>
      <c r="Z69" s="10"/>
    </row>
    <row r="70" spans="1:26">
      <c r="A70" s="4">
        <v>69</v>
      </c>
      <c r="B70" s="5">
        <v>1120232873</v>
      </c>
      <c r="C70" s="6" t="s">
        <v>97</v>
      </c>
      <c r="D70" s="6" t="str">
        <f>VLOOKUP([1]成绩单!B65,[1]Sheet1!$A:$K,4,0)</f>
        <v>精工2312</v>
      </c>
      <c r="E70" s="5">
        <v>64</v>
      </c>
      <c r="F70" s="7">
        <v>0.67368399999999995</v>
      </c>
      <c r="G70" s="8">
        <v>81.760999999999996</v>
      </c>
      <c r="H70" s="5">
        <v>62</v>
      </c>
      <c r="I70" s="5">
        <v>136</v>
      </c>
      <c r="J70" s="5">
        <v>0</v>
      </c>
      <c r="K70" s="5">
        <v>0</v>
      </c>
      <c r="L70" s="6" t="s">
        <v>27</v>
      </c>
      <c r="M70" s="6">
        <v>0.2</v>
      </c>
      <c r="N70" s="6">
        <v>0.2</v>
      </c>
      <c r="O70" s="6">
        <v>1.2</v>
      </c>
      <c r="P70" s="6">
        <v>3.2</v>
      </c>
      <c r="Q70" s="6">
        <v>0.2</v>
      </c>
      <c r="R70" s="6"/>
      <c r="S70" s="6">
        <f>SUM(M70:Q70)</f>
        <v>5.0000000000000009</v>
      </c>
      <c r="T70" s="6">
        <f>COUNTIFS($Y:$Y, Y70, $S:$S, "&gt;"&amp;S70) + 1</f>
        <v>80</v>
      </c>
      <c r="U70" s="6">
        <f>0.85*E70+T70*0.15</f>
        <v>66.400000000000006</v>
      </c>
      <c r="V70" s="6">
        <f>100.4-0.4*W70</f>
        <v>72.800000000000011</v>
      </c>
      <c r="W70" s="6">
        <f>COUNTIFS($Y:$Y, Y70, $U:$U, "&lt;"&amp;U70) + 1</f>
        <v>69</v>
      </c>
      <c r="X70" s="5">
        <v>95</v>
      </c>
      <c r="Y70" s="6" t="s">
        <v>28</v>
      </c>
      <c r="Z70" s="10"/>
    </row>
    <row r="71" spans="1:26">
      <c r="A71" s="4">
        <v>70</v>
      </c>
      <c r="B71" s="5">
        <v>1120230391</v>
      </c>
      <c r="C71" s="6" t="s">
        <v>98</v>
      </c>
      <c r="D71" s="6" t="str">
        <f>VLOOKUP([1]成绩单!B69,[1]Sheet1!$A:$K,4,0)</f>
        <v>精工2313</v>
      </c>
      <c r="E71" s="5">
        <v>68</v>
      </c>
      <c r="F71" s="7">
        <v>0.71578900000000001</v>
      </c>
      <c r="G71" s="8">
        <v>80.9833</v>
      </c>
      <c r="H71" s="5">
        <v>62</v>
      </c>
      <c r="I71" s="9">
        <v>134.5</v>
      </c>
      <c r="J71" s="5">
        <v>0</v>
      </c>
      <c r="K71" s="5">
        <v>0</v>
      </c>
      <c r="L71" s="6" t="s">
        <v>27</v>
      </c>
      <c r="M71" s="6">
        <v>1.2</v>
      </c>
      <c r="N71" s="6">
        <v>2</v>
      </c>
      <c r="O71" s="6">
        <v>0.2</v>
      </c>
      <c r="P71" s="6">
        <v>0.9</v>
      </c>
      <c r="Q71" s="6">
        <v>1</v>
      </c>
      <c r="R71" s="6"/>
      <c r="S71" s="6">
        <f>SUM(M71:Q71)</f>
        <v>5.3000000000000007</v>
      </c>
      <c r="T71" s="6">
        <f>COUNTIFS($Y:$Y, Y71, $S:$S, "&gt;"&amp;S71) + 1</f>
        <v>79</v>
      </c>
      <c r="U71" s="6">
        <f>0.85*E71+T71*0.15</f>
        <v>69.649999999999991</v>
      </c>
      <c r="V71" s="6">
        <f>100.4-0.4*W71</f>
        <v>72.400000000000006</v>
      </c>
      <c r="W71" s="6">
        <f>COUNTIFS($Y:$Y, Y71, $U:$U, "&lt;"&amp;U71) + 1</f>
        <v>70</v>
      </c>
      <c r="X71" s="5">
        <v>95</v>
      </c>
      <c r="Y71" s="6" t="s">
        <v>28</v>
      </c>
      <c r="Z71" s="10"/>
    </row>
    <row r="72" spans="1:26">
      <c r="A72" s="4">
        <v>71</v>
      </c>
      <c r="B72" s="5">
        <v>1120230998</v>
      </c>
      <c r="C72" s="6" t="s">
        <v>99</v>
      </c>
      <c r="D72" s="6" t="str">
        <f>VLOOKUP([1]成绩单!B73,[1]Sheet1!$A:$K,4,0)</f>
        <v>精工2312</v>
      </c>
      <c r="E72" s="5">
        <v>72</v>
      </c>
      <c r="F72" s="7">
        <v>0.75789499999999999</v>
      </c>
      <c r="G72" s="8">
        <v>80.586100000000002</v>
      </c>
      <c r="H72" s="5">
        <v>64</v>
      </c>
      <c r="I72" s="9">
        <v>136.5</v>
      </c>
      <c r="J72" s="5">
        <v>0</v>
      </c>
      <c r="K72" s="5">
        <v>0</v>
      </c>
      <c r="L72" s="6" t="s">
        <v>27</v>
      </c>
      <c r="M72" s="6">
        <v>1.5</v>
      </c>
      <c r="N72" s="6">
        <v>1.6</v>
      </c>
      <c r="O72" s="6">
        <v>1.6</v>
      </c>
      <c r="P72" s="6">
        <v>4.95</v>
      </c>
      <c r="Q72" s="6">
        <v>1.7</v>
      </c>
      <c r="R72" s="6"/>
      <c r="S72" s="6">
        <f>SUM(M72:Q72)</f>
        <v>11.35</v>
      </c>
      <c r="T72" s="6">
        <f>COUNTIFS($Y:$Y, Y72, $S:$S, "&gt;"&amp;S72) + 1</f>
        <v>60</v>
      </c>
      <c r="U72" s="6">
        <f>0.85*E72+T72*0.15</f>
        <v>70.199999999999989</v>
      </c>
      <c r="V72" s="6">
        <f>100.4-0.4*W72</f>
        <v>72</v>
      </c>
      <c r="W72" s="6">
        <f>COUNTIFS($Y:$Y, Y72, $U:$U, "&lt;"&amp;U72) + 1</f>
        <v>71</v>
      </c>
      <c r="X72" s="5">
        <v>95</v>
      </c>
      <c r="Y72" s="6" t="s">
        <v>28</v>
      </c>
      <c r="Z72" s="10"/>
    </row>
    <row r="73" spans="1:26">
      <c r="A73" s="4">
        <v>72</v>
      </c>
      <c r="B73" s="5">
        <v>1120231432</v>
      </c>
      <c r="C73" s="6" t="s">
        <v>100</v>
      </c>
      <c r="D73" s="6" t="str">
        <f>VLOOKUP([1]成绩单!B75,[1]Sheet1!$A:$K,4,0)</f>
        <v>精工2313</v>
      </c>
      <c r="E73" s="5">
        <v>74</v>
      </c>
      <c r="F73" s="7">
        <v>0.77894699999999994</v>
      </c>
      <c r="G73" s="8">
        <v>80.116500000000002</v>
      </c>
      <c r="H73" s="5">
        <v>65</v>
      </c>
      <c r="I73" s="9">
        <v>139.5</v>
      </c>
      <c r="J73" s="5">
        <v>0</v>
      </c>
      <c r="K73" s="5">
        <v>0</v>
      </c>
      <c r="L73" s="6" t="s">
        <v>27</v>
      </c>
      <c r="M73" s="6">
        <v>3</v>
      </c>
      <c r="N73" s="6">
        <v>1.3</v>
      </c>
      <c r="O73" s="6">
        <v>4</v>
      </c>
      <c r="P73" s="6">
        <v>2.8</v>
      </c>
      <c r="Q73" s="6">
        <v>0.9</v>
      </c>
      <c r="R73" s="6"/>
      <c r="S73" s="6">
        <f>SUM(M73:Q73)</f>
        <v>12.000000000000002</v>
      </c>
      <c r="T73" s="6">
        <f>COUNTIFS($Y:$Y, Y73, $S:$S, "&gt;"&amp;S73) + 1</f>
        <v>58</v>
      </c>
      <c r="U73" s="6">
        <f>0.85*E73+T73*0.15</f>
        <v>71.599999999999994</v>
      </c>
      <c r="V73" s="6">
        <f>100.4-0.4*W73</f>
        <v>71.600000000000009</v>
      </c>
      <c r="W73" s="6">
        <f>COUNTIFS($Y:$Y, Y73, $U:$U, "&lt;"&amp;U73) + 1</f>
        <v>72</v>
      </c>
      <c r="X73" s="5">
        <v>95</v>
      </c>
      <c r="Y73" s="6" t="s">
        <v>28</v>
      </c>
      <c r="Z73" s="10"/>
    </row>
    <row r="74" spans="1:26">
      <c r="A74" s="4">
        <v>73</v>
      </c>
      <c r="B74" s="5">
        <v>1120232045</v>
      </c>
      <c r="C74" s="6" t="s">
        <v>101</v>
      </c>
      <c r="D74" s="6" t="str">
        <f>VLOOKUP([1]成绩单!B72,[1]Sheet1!$A:$K,4,0)</f>
        <v>精工2311</v>
      </c>
      <c r="E74" s="5">
        <v>71</v>
      </c>
      <c r="F74" s="7">
        <v>0.74736800000000003</v>
      </c>
      <c r="G74" s="8">
        <v>80.620900000000006</v>
      </c>
      <c r="H74" s="5">
        <v>64</v>
      </c>
      <c r="I74" s="9">
        <v>136.5</v>
      </c>
      <c r="J74" s="5">
        <v>0</v>
      </c>
      <c r="K74" s="5">
        <v>0</v>
      </c>
      <c r="L74" s="6" t="s">
        <v>27</v>
      </c>
      <c r="M74" s="6">
        <v>1</v>
      </c>
      <c r="N74" s="6">
        <v>2</v>
      </c>
      <c r="O74" s="6">
        <v>1.2</v>
      </c>
      <c r="P74" s="6">
        <v>0.7</v>
      </c>
      <c r="Q74" s="6">
        <v>0.5</v>
      </c>
      <c r="R74" s="6"/>
      <c r="S74" s="6">
        <f>SUM(M74:Q74)</f>
        <v>5.4</v>
      </c>
      <c r="T74" s="6">
        <f>COUNTIFS($Y:$Y, Y74, $S:$S, "&gt;"&amp;S74) + 1</f>
        <v>78</v>
      </c>
      <c r="U74" s="6">
        <f>0.85*E74+T74*0.15</f>
        <v>72.05</v>
      </c>
      <c r="V74" s="6">
        <f>100.4-0.4*W74</f>
        <v>71.2</v>
      </c>
      <c r="W74" s="6">
        <f>COUNTIFS($Y:$Y, Y74, $U:$U, "&lt;"&amp;U74) + 1</f>
        <v>73</v>
      </c>
      <c r="X74" s="5">
        <v>95</v>
      </c>
      <c r="Y74" s="6" t="s">
        <v>28</v>
      </c>
      <c r="Z74" s="10"/>
    </row>
    <row r="75" spans="1:26">
      <c r="A75" s="4">
        <v>74</v>
      </c>
      <c r="B75" s="5">
        <v>1120232484</v>
      </c>
      <c r="C75" s="6" t="s">
        <v>102</v>
      </c>
      <c r="D75" s="6" t="str">
        <f>VLOOKUP([1]成绩单!B74,[1]Sheet1!$A:$K,4,0)</f>
        <v>精工2311</v>
      </c>
      <c r="E75" s="5">
        <v>73</v>
      </c>
      <c r="F75" s="7">
        <v>0.76842100000000002</v>
      </c>
      <c r="G75" s="8">
        <v>80.388300000000001</v>
      </c>
      <c r="H75" s="5">
        <v>63</v>
      </c>
      <c r="I75" s="9">
        <v>136.5</v>
      </c>
      <c r="J75" s="5">
        <v>0</v>
      </c>
      <c r="K75" s="5">
        <v>0</v>
      </c>
      <c r="L75" s="6" t="s">
        <v>27</v>
      </c>
      <c r="M75" s="6">
        <v>0.2</v>
      </c>
      <c r="N75" s="6">
        <v>0.2</v>
      </c>
      <c r="O75" s="6">
        <v>1.2</v>
      </c>
      <c r="P75" s="6">
        <v>1.1000000000000001</v>
      </c>
      <c r="Q75" s="6">
        <v>1.2</v>
      </c>
      <c r="R75" s="6"/>
      <c r="S75" s="6">
        <f>SUM(M75:Q75)</f>
        <v>3.9000000000000004</v>
      </c>
      <c r="T75" s="6">
        <f>COUNTIFS($Y:$Y, Y75, $S:$S, "&gt;"&amp;S75) + 1</f>
        <v>83</v>
      </c>
      <c r="U75" s="6">
        <f>0.85*E75+T75*0.15</f>
        <v>74.5</v>
      </c>
      <c r="V75" s="6">
        <f>100.4-0.4*W75</f>
        <v>70.800000000000011</v>
      </c>
      <c r="W75" s="6">
        <f>COUNTIFS($Y:$Y, Y75, $U:$U, "&lt;"&amp;U75) + 1</f>
        <v>74</v>
      </c>
      <c r="X75" s="5">
        <v>95</v>
      </c>
      <c r="Y75" s="6" t="s">
        <v>28</v>
      </c>
      <c r="Z75" s="10"/>
    </row>
    <row r="76" spans="1:26">
      <c r="A76" s="4">
        <v>75</v>
      </c>
      <c r="B76" s="5">
        <v>1120233020</v>
      </c>
      <c r="C76" s="6" t="s">
        <v>103</v>
      </c>
      <c r="D76" s="6" t="str">
        <f>VLOOKUP([1]成绩单!B77,[1]Sheet1!$A:$K,4,0)</f>
        <v>精工2310</v>
      </c>
      <c r="E76" s="5">
        <v>76</v>
      </c>
      <c r="F76" s="7">
        <v>0.8</v>
      </c>
      <c r="G76" s="8">
        <v>79.985100000000003</v>
      </c>
      <c r="H76" s="5">
        <v>63</v>
      </c>
      <c r="I76" s="9">
        <v>134.5</v>
      </c>
      <c r="J76" s="5">
        <v>1</v>
      </c>
      <c r="K76" s="5">
        <v>1</v>
      </c>
      <c r="L76" s="6" t="s">
        <v>27</v>
      </c>
      <c r="M76" s="6">
        <v>0.3</v>
      </c>
      <c r="N76" s="6">
        <v>1.3</v>
      </c>
      <c r="O76" s="6">
        <v>2.25</v>
      </c>
      <c r="P76" s="6">
        <v>2.1</v>
      </c>
      <c r="Q76" s="6">
        <v>1</v>
      </c>
      <c r="R76" s="6"/>
      <c r="S76" s="6">
        <f>SUM(M76:Q76)</f>
        <v>6.95</v>
      </c>
      <c r="T76" s="6">
        <f>COUNTIFS($Y:$Y, Y76, $S:$S, "&gt;"&amp;S76) + 1</f>
        <v>75</v>
      </c>
      <c r="U76" s="6">
        <f>0.85*E76+T76*0.15</f>
        <v>75.849999999999994</v>
      </c>
      <c r="V76" s="6">
        <f>100.4-0.4*W76</f>
        <v>70.400000000000006</v>
      </c>
      <c r="W76" s="6">
        <f>COUNTIFS($Y:$Y, Y76, $U:$U, "&lt;"&amp;U76) + 1</f>
        <v>75</v>
      </c>
      <c r="X76" s="5">
        <v>95</v>
      </c>
      <c r="Y76" s="6" t="s">
        <v>28</v>
      </c>
      <c r="Z76" s="10"/>
    </row>
    <row r="77" spans="1:26">
      <c r="A77" s="4">
        <v>76</v>
      </c>
      <c r="B77" s="5">
        <v>1120232502</v>
      </c>
      <c r="C77" s="6" t="s">
        <v>104</v>
      </c>
      <c r="D77" s="6" t="str">
        <f>VLOOKUP([1]成绩单!B76,[1]Sheet1!$A:$K,4,0)</f>
        <v>精工2311</v>
      </c>
      <c r="E77" s="5">
        <v>75</v>
      </c>
      <c r="F77" s="7">
        <v>0.78947400000000001</v>
      </c>
      <c r="G77" s="8">
        <v>80.095200000000006</v>
      </c>
      <c r="H77" s="5">
        <v>64</v>
      </c>
      <c r="I77" s="9">
        <v>136.5</v>
      </c>
      <c r="J77" s="5">
        <v>0</v>
      </c>
      <c r="K77" s="5">
        <v>0</v>
      </c>
      <c r="L77" s="6" t="s">
        <v>27</v>
      </c>
      <c r="M77" s="6">
        <v>1.6</v>
      </c>
      <c r="N77" s="6">
        <v>0.2</v>
      </c>
      <c r="O77" s="6">
        <v>0.9</v>
      </c>
      <c r="P77" s="6">
        <v>1.5</v>
      </c>
      <c r="Q77" s="6">
        <v>0</v>
      </c>
      <c r="R77" s="6"/>
      <c r="S77" s="6">
        <f>SUM(M77:Q77)</f>
        <v>4.2</v>
      </c>
      <c r="T77" s="6">
        <f>COUNTIFS($Y:$Y, Y77, $S:$S, "&gt;"&amp;S77) + 1</f>
        <v>82</v>
      </c>
      <c r="U77" s="6">
        <f>0.85*E77+T77*0.15</f>
        <v>76.05</v>
      </c>
      <c r="V77" s="6">
        <f>100.4-0.4*W77</f>
        <v>70</v>
      </c>
      <c r="W77" s="6">
        <f>COUNTIFS($Y:$Y, Y77, $U:$U, "&lt;"&amp;U77) + 1</f>
        <v>76</v>
      </c>
      <c r="X77" s="5">
        <v>95</v>
      </c>
      <c r="Y77" s="6" t="s">
        <v>28</v>
      </c>
      <c r="Z77" s="10"/>
    </row>
    <row r="78" spans="1:26">
      <c r="A78" s="4">
        <v>77</v>
      </c>
      <c r="B78" s="5">
        <v>1120230388</v>
      </c>
      <c r="C78" s="6" t="s">
        <v>105</v>
      </c>
      <c r="D78" s="6" t="str">
        <f>VLOOKUP([1]成绩单!B79,[1]Sheet1!$A:$K,4,0)</f>
        <v>精工2313</v>
      </c>
      <c r="E78" s="5">
        <v>78</v>
      </c>
      <c r="F78" s="7">
        <v>0.82105300000000003</v>
      </c>
      <c r="G78" s="8">
        <v>79.081800000000001</v>
      </c>
      <c r="H78" s="5">
        <v>62</v>
      </c>
      <c r="I78" s="9">
        <v>134.5</v>
      </c>
      <c r="J78" s="5">
        <v>2</v>
      </c>
      <c r="K78" s="5">
        <v>2</v>
      </c>
      <c r="L78" s="6" t="s">
        <v>27</v>
      </c>
      <c r="M78" s="6">
        <v>1.9</v>
      </c>
      <c r="N78" s="6">
        <v>1.45</v>
      </c>
      <c r="O78" s="6">
        <v>1.5</v>
      </c>
      <c r="P78" s="6">
        <v>1.5</v>
      </c>
      <c r="Q78" s="6">
        <v>3.2</v>
      </c>
      <c r="R78" s="6"/>
      <c r="S78" s="6">
        <f>SUM(M78:Q78)</f>
        <v>9.5500000000000007</v>
      </c>
      <c r="T78" s="6">
        <f>COUNTIFS($Y:$Y, Y78, $S:$S, "&gt;"&amp;S78) + 1</f>
        <v>67</v>
      </c>
      <c r="U78" s="6">
        <f>0.85*E78+T78*0.15</f>
        <v>76.349999999999994</v>
      </c>
      <c r="V78" s="6">
        <f>100.4-0.4*W78</f>
        <v>69.600000000000009</v>
      </c>
      <c r="W78" s="6">
        <f>COUNTIFS($Y:$Y, Y78, $U:$U, "&lt;"&amp;U78) + 1</f>
        <v>77</v>
      </c>
      <c r="X78" s="5">
        <v>95</v>
      </c>
      <c r="Y78" s="6" t="s">
        <v>28</v>
      </c>
      <c r="Z78" s="10"/>
    </row>
    <row r="79" spans="1:26">
      <c r="A79" s="4">
        <v>78</v>
      </c>
      <c r="B79" s="5">
        <v>1120232490</v>
      </c>
      <c r="C79" s="6" t="s">
        <v>106</v>
      </c>
      <c r="D79" s="6" t="str">
        <f>VLOOKUP([1]成绩单!B78,[1]Sheet1!$A:$K,4,0)</f>
        <v>精工2311</v>
      </c>
      <c r="E79" s="5">
        <v>77</v>
      </c>
      <c r="F79" s="7">
        <v>0.81052599999999997</v>
      </c>
      <c r="G79" s="8">
        <v>79.213800000000006</v>
      </c>
      <c r="H79" s="5">
        <v>62</v>
      </c>
      <c r="I79" s="9">
        <v>134.5</v>
      </c>
      <c r="J79" s="5">
        <v>0</v>
      </c>
      <c r="K79" s="5">
        <v>0</v>
      </c>
      <c r="L79" s="6" t="s">
        <v>27</v>
      </c>
      <c r="M79" s="6">
        <v>1.9</v>
      </c>
      <c r="N79" s="6">
        <v>0.2</v>
      </c>
      <c r="O79" s="6">
        <v>2.5</v>
      </c>
      <c r="P79" s="6">
        <v>1.5</v>
      </c>
      <c r="Q79" s="6">
        <v>1</v>
      </c>
      <c r="R79" s="6"/>
      <c r="S79" s="6">
        <f>SUM(M79:Q79)</f>
        <v>7.1</v>
      </c>
      <c r="T79" s="6">
        <f>COUNTIFS($Y:$Y, Y79, $S:$S, "&gt;"&amp;S79) + 1</f>
        <v>74</v>
      </c>
      <c r="U79" s="6">
        <f>0.85*E79+T79*0.15</f>
        <v>76.55</v>
      </c>
      <c r="V79" s="6">
        <f>100.4-0.4*W79</f>
        <v>69.2</v>
      </c>
      <c r="W79" s="6">
        <f>COUNTIFS($Y:$Y, Y79, $U:$U, "&lt;"&amp;U79) + 1</f>
        <v>78</v>
      </c>
      <c r="X79" s="5">
        <v>95</v>
      </c>
      <c r="Y79" s="6" t="s">
        <v>28</v>
      </c>
      <c r="Z79" s="10"/>
    </row>
    <row r="80" spans="1:26">
      <c r="A80" s="4">
        <v>79</v>
      </c>
      <c r="B80" s="5">
        <v>1120231362</v>
      </c>
      <c r="C80" s="6" t="s">
        <v>107</v>
      </c>
      <c r="D80" s="6" t="str">
        <f>VLOOKUP([1]成绩单!B80,[1]Sheet1!$A:$K,4,0)</f>
        <v>精工2311</v>
      </c>
      <c r="E80" s="5">
        <v>79</v>
      </c>
      <c r="F80" s="7">
        <v>0.83157899999999996</v>
      </c>
      <c r="G80" s="8">
        <v>79.025400000000005</v>
      </c>
      <c r="H80" s="5">
        <v>65</v>
      </c>
      <c r="I80" s="11">
        <v>137.75</v>
      </c>
      <c r="J80" s="5">
        <v>0</v>
      </c>
      <c r="K80" s="5">
        <v>0</v>
      </c>
      <c r="L80" s="6" t="s">
        <v>27</v>
      </c>
      <c r="M80" s="6">
        <v>2.2000000000000002</v>
      </c>
      <c r="N80" s="6">
        <v>1</v>
      </c>
      <c r="O80" s="6">
        <v>2.8</v>
      </c>
      <c r="P80" s="6">
        <v>2</v>
      </c>
      <c r="Q80" s="6">
        <v>1.3</v>
      </c>
      <c r="R80" s="6"/>
      <c r="S80" s="6">
        <f>SUM(M80:Q80)</f>
        <v>9.3000000000000007</v>
      </c>
      <c r="T80" s="6">
        <f>COUNTIFS($Y:$Y, Y80, $S:$S, "&gt;"&amp;S80) + 1</f>
        <v>68</v>
      </c>
      <c r="U80" s="6">
        <f>0.85*E80+T80*0.15</f>
        <v>77.349999999999994</v>
      </c>
      <c r="V80" s="6">
        <f>100.4-0.4*W80</f>
        <v>68.800000000000011</v>
      </c>
      <c r="W80" s="6">
        <f>COUNTIFS($Y:$Y, Y80, $U:$U, "&lt;"&amp;U80) + 1</f>
        <v>79</v>
      </c>
      <c r="X80" s="5">
        <v>95</v>
      </c>
      <c r="Y80" s="6" t="s">
        <v>28</v>
      </c>
      <c r="Z80" s="10"/>
    </row>
    <row r="81" spans="1:26">
      <c r="A81" s="4">
        <v>80</v>
      </c>
      <c r="B81" s="5">
        <v>1120232283</v>
      </c>
      <c r="C81" s="6" t="s">
        <v>108</v>
      </c>
      <c r="D81" s="6" t="str">
        <f>VLOOKUP([1]成绩单!B84,[1]Sheet1!$A:$K,4,0)</f>
        <v>精工2313</v>
      </c>
      <c r="E81" s="5">
        <v>83</v>
      </c>
      <c r="F81" s="7">
        <v>0.87368400000000002</v>
      </c>
      <c r="G81" s="8">
        <v>77.7286</v>
      </c>
      <c r="H81" s="5">
        <v>62</v>
      </c>
      <c r="I81" s="9">
        <v>134.5</v>
      </c>
      <c r="J81" s="5">
        <v>1</v>
      </c>
      <c r="K81" s="5">
        <v>1</v>
      </c>
      <c r="L81" s="6" t="s">
        <v>27</v>
      </c>
      <c r="M81" s="6">
        <v>2.2000000000000002</v>
      </c>
      <c r="N81" s="6">
        <v>1.2</v>
      </c>
      <c r="O81" s="6">
        <v>5.9</v>
      </c>
      <c r="P81" s="6">
        <v>2.2000000000000002</v>
      </c>
      <c r="Q81" s="6">
        <v>3.45</v>
      </c>
      <c r="R81" s="6"/>
      <c r="S81" s="6">
        <f>SUM(M81:Q81)</f>
        <v>14.95</v>
      </c>
      <c r="T81" s="6">
        <f>COUNTIFS($Y:$Y, Y81, $S:$S, "&gt;"&amp;S81) + 1</f>
        <v>48</v>
      </c>
      <c r="U81" s="6">
        <f>0.85*E81+T81*0.15</f>
        <v>77.75</v>
      </c>
      <c r="V81" s="6">
        <f>100.4-0.4*W81</f>
        <v>68.400000000000006</v>
      </c>
      <c r="W81" s="6">
        <f>COUNTIFS($Y:$Y, Y81, $U:$U, "&lt;"&amp;U81) + 1</f>
        <v>80</v>
      </c>
      <c r="X81" s="5">
        <v>95</v>
      </c>
      <c r="Y81" s="6" t="s">
        <v>28</v>
      </c>
      <c r="Z81" s="10"/>
    </row>
    <row r="82" spans="1:26">
      <c r="A82" s="4">
        <v>81</v>
      </c>
      <c r="B82" s="5">
        <v>1120232301</v>
      </c>
      <c r="C82" s="6" t="s">
        <v>109</v>
      </c>
      <c r="D82" s="6" t="str">
        <f>VLOOKUP([1]成绩单!B86,[1]Sheet1!$A:$K,4,0)</f>
        <v>精工2313</v>
      </c>
      <c r="E82" s="5">
        <v>85</v>
      </c>
      <c r="F82" s="7">
        <v>0.894737</v>
      </c>
      <c r="G82" s="8">
        <v>76.797399999999996</v>
      </c>
      <c r="H82" s="5">
        <v>62</v>
      </c>
      <c r="I82" s="9">
        <v>134.5</v>
      </c>
      <c r="J82" s="5">
        <v>1</v>
      </c>
      <c r="K82" s="5">
        <v>1</v>
      </c>
      <c r="L82" s="6" t="s">
        <v>27</v>
      </c>
      <c r="M82" s="6">
        <v>2.5</v>
      </c>
      <c r="N82" s="6">
        <v>2.35</v>
      </c>
      <c r="O82" s="6">
        <v>3.5</v>
      </c>
      <c r="P82" s="6">
        <v>2.4</v>
      </c>
      <c r="Q82" s="6">
        <v>1.4</v>
      </c>
      <c r="R82" s="6"/>
      <c r="S82" s="6">
        <f>SUM(M82:Q82)</f>
        <v>12.15</v>
      </c>
      <c r="T82" s="6">
        <f>COUNTIFS($Y:$Y, Y82, $S:$S, "&gt;"&amp;S82) + 1</f>
        <v>57</v>
      </c>
      <c r="U82" s="6">
        <f>0.85*E82+T82*0.15</f>
        <v>80.8</v>
      </c>
      <c r="V82" s="6">
        <f>100.4-0.4*W82</f>
        <v>68</v>
      </c>
      <c r="W82" s="6">
        <f>COUNTIFS($Y:$Y, Y82, $U:$U, "&lt;"&amp;U82) + 1</f>
        <v>81</v>
      </c>
      <c r="X82" s="5">
        <v>95</v>
      </c>
      <c r="Y82" s="6" t="s">
        <v>28</v>
      </c>
      <c r="Z82" s="10"/>
    </row>
    <row r="83" spans="1:26">
      <c r="A83" s="4">
        <v>82</v>
      </c>
      <c r="B83" s="5">
        <v>1120231278</v>
      </c>
      <c r="C83" s="6" t="s">
        <v>110</v>
      </c>
      <c r="D83" s="6" t="str">
        <f>VLOOKUP([1]成绩单!B87,[1]Sheet1!$A:$K,4,0)</f>
        <v>精工2313</v>
      </c>
      <c r="E83" s="5">
        <v>86</v>
      </c>
      <c r="F83" s="7">
        <v>0.90526300000000004</v>
      </c>
      <c r="G83" s="8">
        <v>76.771900000000002</v>
      </c>
      <c r="H83" s="5">
        <v>61</v>
      </c>
      <c r="I83" s="9">
        <v>131.5</v>
      </c>
      <c r="J83" s="5">
        <v>1</v>
      </c>
      <c r="K83" s="5">
        <v>1</v>
      </c>
      <c r="L83" s="6" t="s">
        <v>27</v>
      </c>
      <c r="M83" s="6">
        <v>4.3</v>
      </c>
      <c r="N83" s="6">
        <v>4.5999999999999996</v>
      </c>
      <c r="O83" s="6">
        <v>1</v>
      </c>
      <c r="P83" s="6">
        <v>2.9</v>
      </c>
      <c r="Q83" s="6">
        <v>0</v>
      </c>
      <c r="R83" s="6"/>
      <c r="S83" s="6">
        <f>SUM(M83:Q83)</f>
        <v>12.799999999999999</v>
      </c>
      <c r="T83" s="6">
        <f>COUNTIFS($Y:$Y, Y83, $S:$S, "&gt;"&amp;S83) + 1</f>
        <v>52</v>
      </c>
      <c r="U83" s="6">
        <f>0.85*E83+T83*0.15</f>
        <v>80.899999999999991</v>
      </c>
      <c r="V83" s="6">
        <f>100.4-0.4*W83</f>
        <v>67.599999999999994</v>
      </c>
      <c r="W83" s="6">
        <f>COUNTIFS($Y:$Y, Y83, $U:$U, "&lt;"&amp;U83) + 1</f>
        <v>82</v>
      </c>
      <c r="X83" s="5">
        <v>95</v>
      </c>
      <c r="Y83" s="6" t="s">
        <v>28</v>
      </c>
      <c r="Z83" s="10"/>
    </row>
    <row r="84" spans="1:26">
      <c r="A84" s="4">
        <v>83</v>
      </c>
      <c r="B84" s="5">
        <v>1120231284</v>
      </c>
      <c r="C84" s="6" t="s">
        <v>111</v>
      </c>
      <c r="D84" s="6" t="str">
        <f>VLOOKUP([1]成绩单!B82,[1]Sheet1!$A:$K,4,0)</f>
        <v>精工2311</v>
      </c>
      <c r="E84" s="5">
        <v>81</v>
      </c>
      <c r="F84" s="7">
        <v>0.85263199999999995</v>
      </c>
      <c r="G84" s="8">
        <v>78.5321</v>
      </c>
      <c r="H84" s="5">
        <v>61</v>
      </c>
      <c r="I84" s="9">
        <v>132.5</v>
      </c>
      <c r="J84" s="5">
        <v>2</v>
      </c>
      <c r="K84" s="5">
        <v>1</v>
      </c>
      <c r="L84" s="6" t="s">
        <v>27</v>
      </c>
      <c r="M84" s="6">
        <v>1.6</v>
      </c>
      <c r="N84" s="6">
        <v>1.2</v>
      </c>
      <c r="O84" s="6">
        <v>0.35</v>
      </c>
      <c r="P84" s="6">
        <v>0.4</v>
      </c>
      <c r="Q84" s="6">
        <v>0</v>
      </c>
      <c r="R84" s="6"/>
      <c r="S84" s="6">
        <f>SUM(M84:Q84)</f>
        <v>3.55</v>
      </c>
      <c r="T84" s="6">
        <f>COUNTIFS($Y:$Y, Y84, $S:$S, "&gt;"&amp;S84) + 1</f>
        <v>84</v>
      </c>
      <c r="U84" s="6">
        <f>0.85*E84+T84*0.15</f>
        <v>81.449999999999989</v>
      </c>
      <c r="V84" s="6">
        <f>100.4-0.4*W84</f>
        <v>67.2</v>
      </c>
      <c r="W84" s="6">
        <f>COUNTIFS($Y:$Y, Y84, $U:$U, "&lt;"&amp;U84) + 1</f>
        <v>83</v>
      </c>
      <c r="X84" s="5">
        <v>95</v>
      </c>
      <c r="Y84" s="6" t="s">
        <v>28</v>
      </c>
      <c r="Z84" s="10"/>
    </row>
    <row r="85" spans="1:26">
      <c r="A85" s="4">
        <v>84</v>
      </c>
      <c r="B85" s="5">
        <v>1120232899</v>
      </c>
      <c r="C85" s="6" t="s">
        <v>112</v>
      </c>
      <c r="D85" s="6" t="str">
        <f>VLOOKUP([1]成绩单!B81,[1]Sheet1!$A:$K,4,0)</f>
        <v>精工2312</v>
      </c>
      <c r="E85" s="5">
        <v>80</v>
      </c>
      <c r="F85" s="7">
        <v>0.84210499999999999</v>
      </c>
      <c r="G85" s="8">
        <v>78.893799999999999</v>
      </c>
      <c r="H85" s="5">
        <v>63</v>
      </c>
      <c r="I85" s="9">
        <v>136.5</v>
      </c>
      <c r="J85" s="5">
        <v>1</v>
      </c>
      <c r="K85" s="5">
        <v>1</v>
      </c>
      <c r="L85" s="6" t="s">
        <v>27</v>
      </c>
      <c r="M85" s="6">
        <v>0.3</v>
      </c>
      <c r="N85" s="6">
        <v>0</v>
      </c>
      <c r="O85" s="6">
        <v>0.5</v>
      </c>
      <c r="P85" s="6">
        <v>0</v>
      </c>
      <c r="Q85" s="6">
        <v>0</v>
      </c>
      <c r="R85" s="6"/>
      <c r="S85" s="6">
        <f>SUM(M85:Q85)</f>
        <v>0.8</v>
      </c>
      <c r="T85" s="6">
        <f>COUNTIFS($Y:$Y, Y85, $S:$S, "&gt;"&amp;S85) + 1</f>
        <v>91</v>
      </c>
      <c r="U85" s="6">
        <f>0.85*E85+T85*0.15</f>
        <v>81.650000000000006</v>
      </c>
      <c r="V85" s="6">
        <f>100.4-0.4*W85</f>
        <v>66.800000000000011</v>
      </c>
      <c r="W85" s="6">
        <f>COUNTIFS($Y:$Y, Y85, $U:$U, "&lt;"&amp;U85) + 1</f>
        <v>84</v>
      </c>
      <c r="X85" s="5">
        <v>95</v>
      </c>
      <c r="Y85" s="6" t="s">
        <v>28</v>
      </c>
      <c r="Z85" s="10"/>
    </row>
    <row r="86" spans="1:26">
      <c r="A86" s="4">
        <v>85</v>
      </c>
      <c r="B86" s="5">
        <v>1120230987</v>
      </c>
      <c r="C86" s="6" t="s">
        <v>113</v>
      </c>
      <c r="D86" s="6" t="str">
        <f>VLOOKUP([1]成绩单!B83,[1]Sheet1!$A:$K,4,0)</f>
        <v>精工2312</v>
      </c>
      <c r="E86" s="5">
        <v>82</v>
      </c>
      <c r="F86" s="7">
        <v>0.86315799999999998</v>
      </c>
      <c r="G86" s="8">
        <v>78.3643</v>
      </c>
      <c r="H86" s="5">
        <v>62</v>
      </c>
      <c r="I86" s="9">
        <v>134.5</v>
      </c>
      <c r="J86" s="5">
        <v>2</v>
      </c>
      <c r="K86" s="5">
        <v>2</v>
      </c>
      <c r="L86" s="6" t="s">
        <v>27</v>
      </c>
      <c r="M86" s="6">
        <v>0.75</v>
      </c>
      <c r="N86" s="6">
        <v>2.5</v>
      </c>
      <c r="O86" s="6">
        <v>1</v>
      </c>
      <c r="P86" s="6">
        <v>0.5</v>
      </c>
      <c r="Q86" s="6">
        <v>0</v>
      </c>
      <c r="R86" s="6"/>
      <c r="S86" s="6">
        <f>SUM(M86:Q86)</f>
        <v>4.75</v>
      </c>
      <c r="T86" s="6">
        <f>COUNTIFS($Y:$Y, Y86, $S:$S, "&gt;"&amp;S86) + 1</f>
        <v>81</v>
      </c>
      <c r="U86" s="6">
        <f>0.85*E86+T86*0.15</f>
        <v>81.850000000000009</v>
      </c>
      <c r="V86" s="6">
        <f>100.4-0.4*W86</f>
        <v>66.400000000000006</v>
      </c>
      <c r="W86" s="6">
        <f>COUNTIFS($Y:$Y, Y86, $U:$U, "&lt;"&amp;U86) + 1</f>
        <v>85</v>
      </c>
      <c r="X86" s="5">
        <v>95</v>
      </c>
      <c r="Y86" s="6" t="s">
        <v>28</v>
      </c>
      <c r="Z86" s="10"/>
    </row>
    <row r="87" spans="1:26">
      <c r="A87" s="4">
        <v>86</v>
      </c>
      <c r="B87" s="5">
        <v>1120232503</v>
      </c>
      <c r="C87" s="6" t="s">
        <v>114</v>
      </c>
      <c r="D87" s="6" t="str">
        <f>VLOOKUP([1]成绩单!B85,[1]Sheet1!$A:$K,4,0)</f>
        <v>精工2312</v>
      </c>
      <c r="E87" s="5">
        <v>84</v>
      </c>
      <c r="F87" s="7">
        <v>0.88421099999999997</v>
      </c>
      <c r="G87" s="8">
        <v>77.150599999999997</v>
      </c>
      <c r="H87" s="5">
        <v>62</v>
      </c>
      <c r="I87" s="9">
        <v>134.5</v>
      </c>
      <c r="J87" s="5">
        <v>1</v>
      </c>
      <c r="K87" s="5">
        <v>1</v>
      </c>
      <c r="L87" s="6" t="s">
        <v>27</v>
      </c>
      <c r="M87" s="6">
        <v>0.4</v>
      </c>
      <c r="N87" s="6">
        <v>1.5</v>
      </c>
      <c r="O87" s="6">
        <v>2</v>
      </c>
      <c r="P87" s="6">
        <v>1.75</v>
      </c>
      <c r="Q87" s="6">
        <v>2</v>
      </c>
      <c r="R87" s="6"/>
      <c r="S87" s="6">
        <f>SUM(M87:Q87)</f>
        <v>7.65</v>
      </c>
      <c r="T87" s="6">
        <f>COUNTIFS($Y:$Y, Y87, $S:$S, "&gt;"&amp;S87) + 1</f>
        <v>73</v>
      </c>
      <c r="U87" s="6">
        <f>0.85*E87+T87*0.15</f>
        <v>82.35</v>
      </c>
      <c r="V87" s="6">
        <f>100.4-0.4*W87</f>
        <v>66</v>
      </c>
      <c r="W87" s="6">
        <f>COUNTIFS($Y:$Y, Y87, $U:$U, "&lt;"&amp;U87) + 1</f>
        <v>86</v>
      </c>
      <c r="X87" s="5">
        <v>95</v>
      </c>
      <c r="Y87" s="6" t="s">
        <v>28</v>
      </c>
      <c r="Z87" s="10"/>
    </row>
    <row r="88" spans="1:26">
      <c r="A88" s="4">
        <v>87</v>
      </c>
      <c r="B88" s="5">
        <v>1120230372</v>
      </c>
      <c r="C88" s="6" t="s">
        <v>115</v>
      </c>
      <c r="D88" s="6" t="str">
        <f>VLOOKUP([1]成绩单!B88,[1]Sheet1!$A:$K,4,0)</f>
        <v>精工2312</v>
      </c>
      <c r="E88" s="5">
        <v>87</v>
      </c>
      <c r="F88" s="7">
        <v>0.91578899999999996</v>
      </c>
      <c r="G88" s="8">
        <v>76.022599999999997</v>
      </c>
      <c r="H88" s="5">
        <v>61</v>
      </c>
      <c r="I88" s="9">
        <v>132.5</v>
      </c>
      <c r="J88" s="5">
        <v>1</v>
      </c>
      <c r="K88" s="5">
        <v>0</v>
      </c>
      <c r="L88" s="6" t="s">
        <v>27</v>
      </c>
      <c r="M88" s="6">
        <v>3.4</v>
      </c>
      <c r="N88" s="6">
        <v>3</v>
      </c>
      <c r="O88" s="6">
        <v>2.2999999999999998</v>
      </c>
      <c r="P88" s="6">
        <v>2</v>
      </c>
      <c r="Q88" s="6">
        <v>1.8</v>
      </c>
      <c r="R88" s="6"/>
      <c r="S88" s="6">
        <f>SUM(M88:Q88)</f>
        <v>12.5</v>
      </c>
      <c r="T88" s="6">
        <f>COUNTIFS($Y:$Y, Y88, $S:$S, "&gt;"&amp;S88) + 1</f>
        <v>56</v>
      </c>
      <c r="U88" s="6">
        <f>0.85*E88+T88*0.15</f>
        <v>82.350000000000009</v>
      </c>
      <c r="V88" s="6">
        <f>100.4-0.4*W88</f>
        <v>66</v>
      </c>
      <c r="W88" s="6">
        <f>COUNTIFS($Y:$Y, Y88, $U:$U, "&lt;"&amp;U88) + 1</f>
        <v>86</v>
      </c>
      <c r="X88" s="5">
        <v>95</v>
      </c>
      <c r="Y88" s="6" t="s">
        <v>28</v>
      </c>
      <c r="Z88" s="10"/>
    </row>
    <row r="89" spans="1:26">
      <c r="A89" s="4">
        <v>88</v>
      </c>
      <c r="B89" s="5">
        <v>1120230996</v>
      </c>
      <c r="C89" s="6" t="s">
        <v>116</v>
      </c>
      <c r="D89" s="6" t="str">
        <f>VLOOKUP([1]成绩单!B91,[1]Sheet1!$A:$K,4,0)</f>
        <v>精工2313</v>
      </c>
      <c r="E89" s="5">
        <v>90</v>
      </c>
      <c r="F89" s="7">
        <v>0.94736799999999999</v>
      </c>
      <c r="G89" s="8">
        <v>73.943600000000004</v>
      </c>
      <c r="H89" s="5">
        <v>64</v>
      </c>
      <c r="I89" s="9">
        <v>137.5</v>
      </c>
      <c r="J89" s="5">
        <v>2</v>
      </c>
      <c r="K89" s="5">
        <v>1</v>
      </c>
      <c r="L89" s="6" t="s">
        <v>27</v>
      </c>
      <c r="M89" s="6">
        <v>1.5</v>
      </c>
      <c r="N89" s="6">
        <v>1.2</v>
      </c>
      <c r="O89" s="6">
        <v>1.2</v>
      </c>
      <c r="P89" s="6">
        <v>1.7</v>
      </c>
      <c r="Q89" s="6">
        <v>1.2</v>
      </c>
      <c r="R89" s="6"/>
      <c r="S89" s="6">
        <f>SUM(M89:Q89)</f>
        <v>6.8000000000000007</v>
      </c>
      <c r="T89" s="6">
        <f>COUNTIFS($Y:$Y, Y89, $S:$S, "&gt;"&amp;S89) + 1</f>
        <v>76</v>
      </c>
      <c r="U89" s="6">
        <f>0.85*E89+T89*0.15</f>
        <v>87.9</v>
      </c>
      <c r="V89" s="6">
        <f>100.4-0.4*W89</f>
        <v>65.2</v>
      </c>
      <c r="W89" s="6">
        <f>COUNTIFS($Y:$Y, Y89, $U:$U, "&lt;"&amp;U89) + 1</f>
        <v>88</v>
      </c>
      <c r="X89" s="5">
        <v>95</v>
      </c>
      <c r="Y89" s="6" t="s">
        <v>28</v>
      </c>
      <c r="Z89" s="10"/>
    </row>
    <row r="90" spans="1:26">
      <c r="A90" s="4">
        <v>89</v>
      </c>
      <c r="B90" s="5">
        <v>1120231436</v>
      </c>
      <c r="C90" s="6" t="s">
        <v>117</v>
      </c>
      <c r="D90" s="6" t="str">
        <f>VLOOKUP([1]成绩单!B90,[1]Sheet1!$A:$K,4,0)</f>
        <v>精工2312</v>
      </c>
      <c r="E90" s="5">
        <v>89</v>
      </c>
      <c r="F90" s="7">
        <v>0.93684199999999995</v>
      </c>
      <c r="G90" s="8">
        <v>73.972099999999998</v>
      </c>
      <c r="H90" s="5">
        <v>62</v>
      </c>
      <c r="I90" s="9">
        <v>134.5</v>
      </c>
      <c r="J90" s="5">
        <v>3</v>
      </c>
      <c r="K90" s="5">
        <v>1</v>
      </c>
      <c r="L90" s="6" t="s">
        <v>27</v>
      </c>
      <c r="M90" s="6">
        <v>0</v>
      </c>
      <c r="N90" s="6">
        <v>0</v>
      </c>
      <c r="O90" s="6">
        <v>1.5</v>
      </c>
      <c r="P90" s="6">
        <v>1</v>
      </c>
      <c r="Q90" s="6">
        <v>0.9</v>
      </c>
      <c r="R90" s="6"/>
      <c r="S90" s="6">
        <f>SUM(M90:Q90)</f>
        <v>3.4</v>
      </c>
      <c r="T90" s="6">
        <f>COUNTIFS($Y:$Y, Y90, $S:$S, "&gt;"&amp;S90) + 1</f>
        <v>85</v>
      </c>
      <c r="U90" s="6">
        <f>0.85*E90+T90*0.15</f>
        <v>88.399999999999991</v>
      </c>
      <c r="V90" s="6">
        <f>100.4-0.4*W90</f>
        <v>64.800000000000011</v>
      </c>
      <c r="W90" s="6">
        <f>COUNTIFS($Y:$Y, Y90, $U:$U, "&lt;"&amp;U90) + 1</f>
        <v>89</v>
      </c>
      <c r="X90" s="5">
        <v>95</v>
      </c>
      <c r="Y90" s="6" t="s">
        <v>28</v>
      </c>
      <c r="Z90" s="10"/>
    </row>
    <row r="91" spans="1:26">
      <c r="A91" s="4">
        <v>90</v>
      </c>
      <c r="B91" s="5">
        <v>1120232506</v>
      </c>
      <c r="C91" s="6" t="s">
        <v>118</v>
      </c>
      <c r="D91" s="6" t="str">
        <f>VLOOKUP([1]成绩单!B89,[1]Sheet1!$A:$K,4,0)</f>
        <v>精工2310</v>
      </c>
      <c r="E91" s="5">
        <v>88</v>
      </c>
      <c r="F91" s="7">
        <v>0.92631600000000003</v>
      </c>
      <c r="G91" s="8">
        <v>75.019599999999997</v>
      </c>
      <c r="H91" s="5">
        <v>65</v>
      </c>
      <c r="I91" s="5">
        <v>140</v>
      </c>
      <c r="J91" s="5">
        <v>1</v>
      </c>
      <c r="K91" s="5">
        <v>1</v>
      </c>
      <c r="L91" s="6" t="s">
        <v>27</v>
      </c>
      <c r="M91" s="6">
        <v>0</v>
      </c>
      <c r="N91" s="6">
        <v>0</v>
      </c>
      <c r="O91" s="6">
        <v>0</v>
      </c>
      <c r="P91" s="6">
        <v>-0.5</v>
      </c>
      <c r="Q91" s="6">
        <v>0</v>
      </c>
      <c r="R91" s="6"/>
      <c r="S91" s="6">
        <f>SUM(M91:Q91)</f>
        <v>-0.5</v>
      </c>
      <c r="T91" s="6">
        <f>COUNTIFS($Y:$Y, Y91, $S:$S, "&gt;"&amp;S91) + 1</f>
        <v>95</v>
      </c>
      <c r="U91" s="6">
        <f>0.85*E91+T91*0.15</f>
        <v>89.05</v>
      </c>
      <c r="V91" s="6">
        <f>100.4-0.4*W91</f>
        <v>64.400000000000006</v>
      </c>
      <c r="W91" s="6">
        <f>COUNTIFS($Y:$Y, Y91, $U:$U, "&lt;"&amp;U91) + 1</f>
        <v>90</v>
      </c>
      <c r="X91" s="5">
        <v>95</v>
      </c>
      <c r="Y91" s="6" t="s">
        <v>28</v>
      </c>
      <c r="Z91" s="10"/>
    </row>
    <row r="92" spans="1:26">
      <c r="A92" s="4">
        <v>91</v>
      </c>
      <c r="B92" s="5">
        <v>1120231009</v>
      </c>
      <c r="C92" s="6" t="s">
        <v>119</v>
      </c>
      <c r="D92" s="6" t="str">
        <f>VLOOKUP([1]成绩单!B95,[1]Sheet1!$A:$K,4,0)</f>
        <v>精工2312</v>
      </c>
      <c r="E92" s="5">
        <v>94</v>
      </c>
      <c r="F92" s="7">
        <v>0.98947399999999996</v>
      </c>
      <c r="G92" s="8">
        <v>72.396199999999993</v>
      </c>
      <c r="H92" s="5">
        <v>61</v>
      </c>
      <c r="I92" s="9">
        <v>132.5</v>
      </c>
      <c r="J92" s="5">
        <v>4</v>
      </c>
      <c r="K92" s="5">
        <v>4</v>
      </c>
      <c r="L92" s="6" t="s">
        <v>27</v>
      </c>
      <c r="M92" s="6">
        <v>3.65</v>
      </c>
      <c r="N92" s="6">
        <v>2.2000000000000002</v>
      </c>
      <c r="O92" s="6">
        <v>2</v>
      </c>
      <c r="P92" s="6">
        <v>0.2</v>
      </c>
      <c r="Q92" s="6">
        <v>0.2</v>
      </c>
      <c r="R92" s="6"/>
      <c r="S92" s="6">
        <f>SUM(M92:Q92)</f>
        <v>8.2499999999999982</v>
      </c>
      <c r="T92" s="6">
        <f>COUNTIFS($Y:$Y, Y92, $S:$S, "&gt;"&amp;S92) + 1</f>
        <v>71</v>
      </c>
      <c r="U92" s="6">
        <f>0.85*E92+T92*0.15</f>
        <v>90.55</v>
      </c>
      <c r="V92" s="6">
        <f>100.4-0.4*W92</f>
        <v>64</v>
      </c>
      <c r="W92" s="6">
        <f>COUNTIFS($Y:$Y, Y92, $U:$U, "&lt;"&amp;U92) + 1</f>
        <v>91</v>
      </c>
      <c r="X92" s="5">
        <v>95</v>
      </c>
      <c r="Y92" s="6" t="s">
        <v>28</v>
      </c>
      <c r="Z92" s="10"/>
    </row>
    <row r="93" spans="1:26">
      <c r="A93" s="4">
        <v>92</v>
      </c>
      <c r="B93" s="5">
        <v>1120232896</v>
      </c>
      <c r="C93" s="6" t="s">
        <v>120</v>
      </c>
      <c r="D93" s="6" t="str">
        <f>VLOOKUP([1]成绩单!B92,[1]Sheet1!$A:$K,4,0)</f>
        <v>精工2313</v>
      </c>
      <c r="E93" s="5">
        <v>91</v>
      </c>
      <c r="F93" s="7">
        <v>0.95789500000000005</v>
      </c>
      <c r="G93" s="8">
        <v>73.6447</v>
      </c>
      <c r="H93" s="5">
        <v>63</v>
      </c>
      <c r="I93" s="9">
        <v>136.5</v>
      </c>
      <c r="J93" s="5">
        <v>2</v>
      </c>
      <c r="K93" s="5">
        <v>0</v>
      </c>
      <c r="L93" s="6" t="s">
        <v>27</v>
      </c>
      <c r="M93" s="6">
        <v>1</v>
      </c>
      <c r="N93" s="6">
        <v>1</v>
      </c>
      <c r="O93" s="6">
        <v>0</v>
      </c>
      <c r="P93" s="6">
        <v>0</v>
      </c>
      <c r="Q93" s="6">
        <v>0</v>
      </c>
      <c r="R93" s="6"/>
      <c r="S93" s="6">
        <f>SUM(M93:Q93)</f>
        <v>2</v>
      </c>
      <c r="T93" s="6">
        <f>COUNTIFS($Y:$Y, Y93, $S:$S, "&gt;"&amp;S93) + 1</f>
        <v>89</v>
      </c>
      <c r="U93" s="6">
        <f>0.85*E93+T93*0.15</f>
        <v>90.699999999999989</v>
      </c>
      <c r="V93" s="6">
        <f>100.4-0.4*W93</f>
        <v>63.6</v>
      </c>
      <c r="W93" s="6">
        <f>COUNTIFS($Y:$Y, Y93, $U:$U, "&lt;"&amp;U93) + 1</f>
        <v>92</v>
      </c>
      <c r="X93" s="5">
        <v>95</v>
      </c>
      <c r="Y93" s="6" t="s">
        <v>28</v>
      </c>
      <c r="Z93" s="10"/>
    </row>
    <row r="94" spans="1:26">
      <c r="A94" s="4">
        <v>93</v>
      </c>
      <c r="B94" s="5">
        <v>1120232205</v>
      </c>
      <c r="C94" s="6" t="s">
        <v>121</v>
      </c>
      <c r="D94" s="6" t="str">
        <f>VLOOKUP([1]成绩单!B93,[1]Sheet1!$A:$K,4,0)</f>
        <v>精工2313</v>
      </c>
      <c r="E94" s="5">
        <v>92</v>
      </c>
      <c r="F94" s="7">
        <v>0.96842099999999998</v>
      </c>
      <c r="G94" s="8">
        <v>72.628299999999996</v>
      </c>
      <c r="H94" s="5">
        <v>61</v>
      </c>
      <c r="I94" s="9">
        <v>132.5</v>
      </c>
      <c r="J94" s="5">
        <v>3</v>
      </c>
      <c r="K94" s="5">
        <v>2</v>
      </c>
      <c r="L94" s="6" t="s">
        <v>27</v>
      </c>
      <c r="M94" s="6">
        <v>0.2</v>
      </c>
      <c r="N94" s="6">
        <v>0.2</v>
      </c>
      <c r="O94" s="6">
        <v>0.2</v>
      </c>
      <c r="P94" s="6">
        <v>0.7</v>
      </c>
      <c r="Q94" s="6">
        <v>0.2</v>
      </c>
      <c r="R94" s="6"/>
      <c r="S94" s="6">
        <f>SUM(M94:Q94)</f>
        <v>1.5</v>
      </c>
      <c r="T94" s="6">
        <f>COUNTIFS($Y:$Y, Y94, $S:$S, "&gt;"&amp;S94) + 1</f>
        <v>90</v>
      </c>
      <c r="U94" s="6">
        <f>0.85*E94+T94*0.15</f>
        <v>91.7</v>
      </c>
      <c r="V94" s="6">
        <f>100.4-0.4*W94</f>
        <v>63.2</v>
      </c>
      <c r="W94" s="6">
        <f>COUNTIFS($Y:$Y, Y94, $U:$U, "&lt;"&amp;U94) + 1</f>
        <v>93</v>
      </c>
      <c r="X94" s="5">
        <v>95</v>
      </c>
      <c r="Y94" s="6" t="s">
        <v>28</v>
      </c>
      <c r="Z94" s="10"/>
    </row>
    <row r="95" spans="1:26">
      <c r="A95" s="4">
        <v>94</v>
      </c>
      <c r="B95" s="5">
        <v>1120230829</v>
      </c>
      <c r="C95" s="6" t="s">
        <v>122</v>
      </c>
      <c r="D95" s="6" t="str">
        <f>VLOOKUP([1]成绩单!B94,[1]Sheet1!$A:$K,4,0)</f>
        <v>精工2310</v>
      </c>
      <c r="E95" s="5">
        <v>93</v>
      </c>
      <c r="F95" s="7">
        <v>0.97894700000000001</v>
      </c>
      <c r="G95" s="8">
        <v>72.4679</v>
      </c>
      <c r="H95" s="5">
        <v>61</v>
      </c>
      <c r="I95" s="9">
        <v>132.5</v>
      </c>
      <c r="J95" s="5">
        <v>3</v>
      </c>
      <c r="K95" s="5">
        <v>1</v>
      </c>
      <c r="L95" s="6" t="s">
        <v>27</v>
      </c>
      <c r="M95" s="6">
        <v>0</v>
      </c>
      <c r="N95" s="6">
        <v>-0.5</v>
      </c>
      <c r="O95" s="6">
        <v>1.6</v>
      </c>
      <c r="P95" s="6">
        <v>0.6</v>
      </c>
      <c r="Q95" s="6">
        <v>1</v>
      </c>
      <c r="R95" s="6"/>
      <c r="S95" s="6">
        <f>SUM(M95:Q95)</f>
        <v>2.7</v>
      </c>
      <c r="T95" s="6">
        <f>COUNTIFS($Y:$Y, Y95, $S:$S, "&gt;"&amp;S95) + 1</f>
        <v>86</v>
      </c>
      <c r="U95" s="6">
        <f>0.85*E95+T95*0.15</f>
        <v>91.95</v>
      </c>
      <c r="V95" s="6">
        <f>100.4-0.4*W95</f>
        <v>62.800000000000004</v>
      </c>
      <c r="W95" s="6">
        <f>COUNTIFS($Y:$Y, Y95, $U:$U, "&lt;"&amp;U95) + 1</f>
        <v>94</v>
      </c>
      <c r="X95" s="5">
        <v>95</v>
      </c>
      <c r="Y95" s="6" t="s">
        <v>28</v>
      </c>
      <c r="Z95" s="10"/>
    </row>
    <row r="96" spans="1:26">
      <c r="A96" s="4">
        <v>95</v>
      </c>
      <c r="B96" s="5">
        <v>1120231003</v>
      </c>
      <c r="C96" s="6" t="s">
        <v>123</v>
      </c>
      <c r="D96" s="6" t="str">
        <f>VLOOKUP([1]成绩单!B96,[1]Sheet1!$A:$K,4,0)</f>
        <v>精工2311</v>
      </c>
      <c r="E96" s="5">
        <v>95</v>
      </c>
      <c r="F96" s="7">
        <v>1</v>
      </c>
      <c r="G96" s="8">
        <v>58.673299999999998</v>
      </c>
      <c r="H96" s="5">
        <v>64</v>
      </c>
      <c r="I96" s="9">
        <v>138.5</v>
      </c>
      <c r="J96" s="5">
        <v>13</v>
      </c>
      <c r="K96" s="5">
        <v>6</v>
      </c>
      <c r="L96" s="6" t="s">
        <v>27</v>
      </c>
      <c r="M96" s="6">
        <v>0.3</v>
      </c>
      <c r="N96" s="6">
        <v>1</v>
      </c>
      <c r="O96" s="6">
        <v>2</v>
      </c>
      <c r="P96" s="6">
        <v>1.2</v>
      </c>
      <c r="Q96" s="6">
        <v>1.1000000000000001</v>
      </c>
      <c r="R96" s="6"/>
      <c r="S96" s="6">
        <f>SUM(M96:Q96)</f>
        <v>5.6</v>
      </c>
      <c r="T96" s="6">
        <f>COUNTIFS($Y:$Y, Y96, $S:$S, "&gt;"&amp;S96) + 1</f>
        <v>77</v>
      </c>
      <c r="U96" s="6">
        <f>0.85*E96+T96*0.15</f>
        <v>92.3</v>
      </c>
      <c r="V96" s="6">
        <f>100.4-0.4*W96</f>
        <v>62.400000000000006</v>
      </c>
      <c r="W96" s="6">
        <f>COUNTIFS($Y:$Y, Y96, $U:$U, "&lt;"&amp;U96) + 1</f>
        <v>95</v>
      </c>
      <c r="X96" s="5">
        <v>95</v>
      </c>
      <c r="Y96" s="6" t="s">
        <v>28</v>
      </c>
      <c r="Z96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11F6-2EE5-4A86-B12C-1AD8E39A96A6}">
  <dimension ref="A1:Z30"/>
  <sheetViews>
    <sheetView tabSelected="1" workbookViewId="0">
      <selection activeCell="H20" sqref="H20"/>
    </sheetView>
  </sheetViews>
  <sheetFormatPr defaultRowHeight="13.9"/>
  <sheetData>
    <row r="1" spans="1:26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spans="1:26">
      <c r="A2" s="5">
        <v>96</v>
      </c>
      <c r="B2" s="5">
        <v>1120230267</v>
      </c>
      <c r="C2" s="6" t="s">
        <v>124</v>
      </c>
      <c r="D2" s="6" t="str">
        <f>VLOOKUP([1]成绩单!B2,[1]Sheet1!$A:$K,4,0)</f>
        <v>精工2310</v>
      </c>
      <c r="E2" s="5">
        <v>1</v>
      </c>
      <c r="F2" s="7">
        <v>3.4483E-2</v>
      </c>
      <c r="G2" s="8">
        <v>89.899600000000007</v>
      </c>
      <c r="H2" s="5">
        <v>65</v>
      </c>
      <c r="I2" s="5">
        <v>142</v>
      </c>
      <c r="J2" s="5">
        <v>0</v>
      </c>
      <c r="K2" s="5">
        <v>0</v>
      </c>
      <c r="L2" s="6" t="s">
        <v>27</v>
      </c>
      <c r="M2" s="6">
        <v>2.2000000000000002</v>
      </c>
      <c r="N2" s="6">
        <v>9.1999999999999993</v>
      </c>
      <c r="O2" s="6">
        <v>12.4</v>
      </c>
      <c r="P2" s="6">
        <v>15.5</v>
      </c>
      <c r="Q2" s="6">
        <v>13.5</v>
      </c>
      <c r="R2" s="6"/>
      <c r="S2" s="6">
        <f>SUM(M2:Q2)</f>
        <v>52.8</v>
      </c>
      <c r="T2" s="6">
        <f>COUNTIFS($Y:$Y, Y2, $S:$S, "&gt;"&amp;S2) + 1</f>
        <v>2</v>
      </c>
      <c r="U2" s="6">
        <f>0.85*E2+T2*0.15</f>
        <v>1.1499999999999999</v>
      </c>
      <c r="V2" s="6">
        <f>100.4-0.4*W2</f>
        <v>100</v>
      </c>
      <c r="W2" s="6">
        <f>COUNTIFS($Y:$Y, Y2, $U:$U, "&lt;"&amp;U2) + 1</f>
        <v>1</v>
      </c>
      <c r="X2" s="5">
        <v>29</v>
      </c>
      <c r="Y2" s="6" t="s">
        <v>125</v>
      </c>
      <c r="Z2" s="10"/>
    </row>
    <row r="3" spans="1:26">
      <c r="A3" s="5">
        <v>97</v>
      </c>
      <c r="B3" s="5">
        <v>1120232496</v>
      </c>
      <c r="C3" s="6" t="s">
        <v>126</v>
      </c>
      <c r="D3" s="6" t="str">
        <f>VLOOKUP([1]成绩单!B3,[1]Sheet1!$A:$K,4,0)</f>
        <v>精工2311</v>
      </c>
      <c r="E3" s="5">
        <v>2</v>
      </c>
      <c r="F3" s="7">
        <v>6.8966E-2</v>
      </c>
      <c r="G3" s="8">
        <v>89.4679</v>
      </c>
      <c r="H3" s="5">
        <v>64</v>
      </c>
      <c r="I3" s="5">
        <v>140</v>
      </c>
      <c r="J3" s="5">
        <v>0</v>
      </c>
      <c r="K3" s="5">
        <v>0</v>
      </c>
      <c r="L3" s="6" t="s">
        <v>27</v>
      </c>
      <c r="M3" s="6">
        <v>2.2000000000000002</v>
      </c>
      <c r="N3" s="6">
        <v>6.8</v>
      </c>
      <c r="O3" s="6">
        <v>14.1</v>
      </c>
      <c r="P3" s="6">
        <v>10.5</v>
      </c>
      <c r="Q3" s="6">
        <v>23.35</v>
      </c>
      <c r="R3" s="6"/>
      <c r="S3" s="6">
        <f>SUM(M3:Q3)</f>
        <v>56.95</v>
      </c>
      <c r="T3" s="6">
        <f>COUNTIFS($Y:$Y, Y3, $S:$S, "&gt;"&amp;S3) + 1</f>
        <v>1</v>
      </c>
      <c r="U3" s="6">
        <f>0.85*E3+T3*0.15</f>
        <v>1.8499999999999999</v>
      </c>
      <c r="V3" s="6">
        <f>100.4-0.4*W3</f>
        <v>99.600000000000009</v>
      </c>
      <c r="W3" s="6">
        <f>COUNTIFS($Y:$Y, Y3, $U:$U, "&lt;"&amp;U3) + 1</f>
        <v>2</v>
      </c>
      <c r="X3" s="5">
        <v>29</v>
      </c>
      <c r="Y3" s="6" t="s">
        <v>125</v>
      </c>
      <c r="Z3" s="10"/>
    </row>
    <row r="4" spans="1:26">
      <c r="A4" s="5">
        <v>98</v>
      </c>
      <c r="B4" s="5">
        <v>1120231274</v>
      </c>
      <c r="C4" s="6" t="s">
        <v>127</v>
      </c>
      <c r="D4" s="6" t="str">
        <f>VLOOKUP([1]成绩单!B4,[1]Sheet1!$A:$K,4,0)</f>
        <v>精工2310</v>
      </c>
      <c r="E4" s="5">
        <v>3</v>
      </c>
      <c r="F4" s="7">
        <v>0.103448</v>
      </c>
      <c r="G4" s="8">
        <v>89.398200000000003</v>
      </c>
      <c r="H4" s="5">
        <v>64</v>
      </c>
      <c r="I4" s="5">
        <v>140</v>
      </c>
      <c r="J4" s="5">
        <v>0</v>
      </c>
      <c r="K4" s="5">
        <v>0</v>
      </c>
      <c r="L4" s="6" t="s">
        <v>27</v>
      </c>
      <c r="M4" s="6">
        <v>1.8</v>
      </c>
      <c r="N4" s="6">
        <v>1</v>
      </c>
      <c r="O4" s="6">
        <v>4.3</v>
      </c>
      <c r="P4" s="6">
        <v>4.7</v>
      </c>
      <c r="Q4" s="6">
        <v>3.1</v>
      </c>
      <c r="R4" s="6"/>
      <c r="S4" s="6">
        <f>SUM(M4:Q4)</f>
        <v>14.9</v>
      </c>
      <c r="T4" s="6">
        <f>COUNTIFS($Y:$Y, Y4, $S:$S, "&gt;"&amp;S4) + 1</f>
        <v>12</v>
      </c>
      <c r="U4" s="6">
        <f>0.85*E4+T4*0.15</f>
        <v>4.3499999999999996</v>
      </c>
      <c r="V4" s="6">
        <f>100.4-0.4*W4</f>
        <v>99.2</v>
      </c>
      <c r="W4" s="6">
        <f>COUNTIFS($Y:$Y, Y4, $U:$U, "&lt;"&amp;U4) + 1</f>
        <v>3</v>
      </c>
      <c r="X4" s="5">
        <v>29</v>
      </c>
      <c r="Y4" s="6" t="s">
        <v>125</v>
      </c>
      <c r="Z4" s="10"/>
    </row>
    <row r="5" spans="1:26">
      <c r="A5" s="5">
        <v>99</v>
      </c>
      <c r="B5" s="5">
        <v>1120232491</v>
      </c>
      <c r="C5" s="6" t="s">
        <v>128</v>
      </c>
      <c r="D5" s="6" t="str">
        <f>VLOOKUP([1]成绩单!B6,[1]Sheet1!$A:$K,4,0)</f>
        <v>精工2310</v>
      </c>
      <c r="E5" s="5">
        <v>5</v>
      </c>
      <c r="F5" s="7">
        <v>0.17241400000000001</v>
      </c>
      <c r="G5" s="8">
        <v>86.641599999999997</v>
      </c>
      <c r="H5" s="5">
        <v>65</v>
      </c>
      <c r="I5" s="5">
        <v>143</v>
      </c>
      <c r="J5" s="5">
        <v>0</v>
      </c>
      <c r="K5" s="5">
        <v>0</v>
      </c>
      <c r="L5" s="6" t="s">
        <v>27</v>
      </c>
      <c r="M5" s="6">
        <v>0.2</v>
      </c>
      <c r="N5" s="6">
        <v>1.5</v>
      </c>
      <c r="O5" s="6">
        <v>2.2999999999999998</v>
      </c>
      <c r="P5" s="6">
        <v>3.5</v>
      </c>
      <c r="Q5" s="6">
        <v>7.7</v>
      </c>
      <c r="R5" s="6"/>
      <c r="S5" s="6">
        <f>SUM(M5:Q5)</f>
        <v>15.2</v>
      </c>
      <c r="T5" s="6">
        <f>COUNTIFS($Y:$Y, Y5, $S:$S, "&gt;"&amp;S5) + 1</f>
        <v>11</v>
      </c>
      <c r="U5" s="6">
        <f>0.85*E5+T5*0.15</f>
        <v>5.9</v>
      </c>
      <c r="V5" s="6">
        <f>100.4-0.4*W5</f>
        <v>98.800000000000011</v>
      </c>
      <c r="W5" s="6">
        <f>COUNTIFS($Y:$Y, Y5, $U:$U, "&lt;"&amp;U5) + 1</f>
        <v>4</v>
      </c>
      <c r="X5" s="5">
        <v>29</v>
      </c>
      <c r="Y5" s="6" t="s">
        <v>125</v>
      </c>
      <c r="Z5" s="10"/>
    </row>
    <row r="6" spans="1:26">
      <c r="A6" s="5">
        <v>100</v>
      </c>
      <c r="B6" s="5">
        <v>1120231266</v>
      </c>
      <c r="C6" s="6" t="s">
        <v>129</v>
      </c>
      <c r="D6" s="6" t="str">
        <f>VLOOKUP([1]成绩单!B5,[1]Sheet1!$A:$K,4,0)</f>
        <v>精工2311</v>
      </c>
      <c r="E6" s="5">
        <v>4</v>
      </c>
      <c r="F6" s="7">
        <v>0.137931</v>
      </c>
      <c r="G6" s="8">
        <v>87.967600000000004</v>
      </c>
      <c r="H6" s="5">
        <v>63</v>
      </c>
      <c r="I6" s="5">
        <v>139</v>
      </c>
      <c r="J6" s="5">
        <v>0</v>
      </c>
      <c r="K6" s="5">
        <v>0</v>
      </c>
      <c r="L6" s="6" t="s">
        <v>27</v>
      </c>
      <c r="M6" s="6">
        <v>0.56000000000000005</v>
      </c>
      <c r="N6" s="6">
        <v>0.3</v>
      </c>
      <c r="O6" s="6">
        <v>1</v>
      </c>
      <c r="P6" s="6">
        <v>1.3</v>
      </c>
      <c r="Q6" s="6">
        <v>5</v>
      </c>
      <c r="R6" s="6"/>
      <c r="S6" s="6">
        <f>SUM(M6:Q6)</f>
        <v>8.16</v>
      </c>
      <c r="T6" s="6">
        <f>COUNTIFS($Y:$Y, Y6, $S:$S, "&gt;"&amp;S6) + 1</f>
        <v>18</v>
      </c>
      <c r="U6" s="6">
        <f>0.85*E6+T6*0.15</f>
        <v>6.1</v>
      </c>
      <c r="V6" s="6">
        <f>100.4-0.4*W6</f>
        <v>98.4</v>
      </c>
      <c r="W6" s="6">
        <f>COUNTIFS($Y:$Y, Y6, $U:$U, "&lt;"&amp;U6) + 1</f>
        <v>5</v>
      </c>
      <c r="X6" s="5">
        <v>29</v>
      </c>
      <c r="Y6" s="6" t="s">
        <v>125</v>
      </c>
      <c r="Z6" s="10"/>
    </row>
    <row r="7" spans="1:26">
      <c r="A7" s="5">
        <v>101</v>
      </c>
      <c r="B7" s="5">
        <v>1120231446</v>
      </c>
      <c r="C7" s="6" t="s">
        <v>130</v>
      </c>
      <c r="D7" s="6" t="str">
        <f>VLOOKUP([1]成绩单!B7,[1]Sheet1!$A:$K,4,0)</f>
        <v>精工2312</v>
      </c>
      <c r="E7" s="5">
        <v>6</v>
      </c>
      <c r="F7" s="7">
        <v>0.206897</v>
      </c>
      <c r="G7" s="8">
        <v>86.316500000000005</v>
      </c>
      <c r="H7" s="5">
        <v>63</v>
      </c>
      <c r="I7" s="5">
        <v>139</v>
      </c>
      <c r="J7" s="5">
        <v>0</v>
      </c>
      <c r="K7" s="5">
        <v>0</v>
      </c>
      <c r="L7" s="6" t="s">
        <v>27</v>
      </c>
      <c r="M7" s="6">
        <v>3.5</v>
      </c>
      <c r="N7" s="6">
        <v>3.5</v>
      </c>
      <c r="O7" s="6">
        <v>3.6</v>
      </c>
      <c r="P7" s="6">
        <v>3.2</v>
      </c>
      <c r="Q7" s="6">
        <v>8.3000000000000007</v>
      </c>
      <c r="R7" s="6"/>
      <c r="S7" s="6">
        <f>SUM(M7:Q7)</f>
        <v>22.1</v>
      </c>
      <c r="T7" s="6">
        <f>COUNTIFS($Y:$Y, Y7, $S:$S, "&gt;"&amp;S7) + 1</f>
        <v>9</v>
      </c>
      <c r="U7" s="6">
        <f>0.85*E7+T7*0.15</f>
        <v>6.4499999999999993</v>
      </c>
      <c r="V7" s="6">
        <f>100.4-0.4*W7</f>
        <v>98</v>
      </c>
      <c r="W7" s="6">
        <f>COUNTIFS($Y:$Y, Y7, $U:$U, "&lt;"&amp;U7) + 1</f>
        <v>6</v>
      </c>
      <c r="X7" s="5">
        <v>29</v>
      </c>
      <c r="Y7" s="6" t="s">
        <v>125</v>
      </c>
      <c r="Z7" s="10"/>
    </row>
    <row r="8" spans="1:26">
      <c r="A8" s="5">
        <v>102</v>
      </c>
      <c r="B8" s="5">
        <v>1120231653</v>
      </c>
      <c r="C8" s="6" t="s">
        <v>131</v>
      </c>
      <c r="D8" s="6" t="str">
        <f>VLOOKUP([1]成绩单!B8,[1]Sheet1!$A:$K,4,0)</f>
        <v>精工2313</v>
      </c>
      <c r="E8" s="5">
        <v>7</v>
      </c>
      <c r="F8" s="7">
        <v>0.24137900000000001</v>
      </c>
      <c r="G8" s="8">
        <v>86.196799999999996</v>
      </c>
      <c r="H8" s="5">
        <v>64</v>
      </c>
      <c r="I8" s="5">
        <v>141</v>
      </c>
      <c r="J8" s="5">
        <v>0</v>
      </c>
      <c r="K8" s="5">
        <v>0</v>
      </c>
      <c r="L8" s="6" t="s">
        <v>27</v>
      </c>
      <c r="M8" s="6">
        <v>2.35</v>
      </c>
      <c r="N8" s="6">
        <v>3</v>
      </c>
      <c r="O8" s="6">
        <v>10</v>
      </c>
      <c r="P8" s="6">
        <v>16</v>
      </c>
      <c r="Q8" s="6">
        <v>15.4</v>
      </c>
      <c r="R8" s="6"/>
      <c r="S8" s="6">
        <f>SUM(M8:Q8)</f>
        <v>46.75</v>
      </c>
      <c r="T8" s="6">
        <f>COUNTIFS($Y:$Y, Y8, $S:$S, "&gt;"&amp;S8) + 1</f>
        <v>4</v>
      </c>
      <c r="U8" s="6">
        <f>0.85*E8+T8*0.15</f>
        <v>6.55</v>
      </c>
      <c r="V8" s="6">
        <f>100.4-0.4*W8</f>
        <v>97.600000000000009</v>
      </c>
      <c r="W8" s="6">
        <f>COUNTIFS($Y:$Y, Y8, $U:$U, "&lt;"&amp;U8) + 1</f>
        <v>7</v>
      </c>
      <c r="X8" s="5">
        <v>29</v>
      </c>
      <c r="Y8" s="6" t="s">
        <v>125</v>
      </c>
      <c r="Z8" s="10"/>
    </row>
    <row r="9" spans="1:26">
      <c r="A9" s="5">
        <v>103</v>
      </c>
      <c r="B9" s="5">
        <v>1120232492</v>
      </c>
      <c r="C9" s="6" t="s">
        <v>132</v>
      </c>
      <c r="D9" s="6" t="str">
        <f>VLOOKUP([1]成绩单!B9,[1]Sheet1!$A:$K,4,0)</f>
        <v>精工2311</v>
      </c>
      <c r="E9" s="5">
        <v>8</v>
      </c>
      <c r="F9" s="7">
        <v>0.275862</v>
      </c>
      <c r="G9" s="8">
        <v>85.5411</v>
      </c>
      <c r="H9" s="5">
        <v>64</v>
      </c>
      <c r="I9" s="5">
        <v>140</v>
      </c>
      <c r="J9" s="5">
        <v>0</v>
      </c>
      <c r="K9" s="5">
        <v>0</v>
      </c>
      <c r="L9" s="6" t="s">
        <v>27</v>
      </c>
      <c r="M9" s="6">
        <v>4.4000000000000004</v>
      </c>
      <c r="N9" s="6">
        <v>5.9</v>
      </c>
      <c r="O9" s="6">
        <v>14.5</v>
      </c>
      <c r="P9" s="6">
        <v>14.9</v>
      </c>
      <c r="Q9" s="6">
        <v>10.199999999999999</v>
      </c>
      <c r="R9" s="6"/>
      <c r="S9" s="6">
        <f>SUM(M9:Q9)</f>
        <v>49.900000000000006</v>
      </c>
      <c r="T9" s="6">
        <f>COUNTIFS($Y:$Y, Y9, $S:$S, "&gt;"&amp;S9) + 1</f>
        <v>3</v>
      </c>
      <c r="U9" s="6">
        <f>0.85*E9+T9*0.15</f>
        <v>7.25</v>
      </c>
      <c r="V9" s="6">
        <f>100.4-0.4*W9</f>
        <v>97.2</v>
      </c>
      <c r="W9" s="6">
        <f>COUNTIFS($Y:$Y, Y9, $U:$U, "&lt;"&amp;U9) + 1</f>
        <v>8</v>
      </c>
      <c r="X9" s="5">
        <v>29</v>
      </c>
      <c r="Y9" s="6" t="s">
        <v>125</v>
      </c>
      <c r="Z9" s="10"/>
    </row>
    <row r="10" spans="1:26">
      <c r="A10" s="5">
        <v>104</v>
      </c>
      <c r="B10" s="5">
        <v>1120231447</v>
      </c>
      <c r="C10" s="6" t="s">
        <v>133</v>
      </c>
      <c r="D10" s="6" t="str">
        <f>VLOOKUP([1]成绩单!B10,[1]Sheet1!$A:$K,4,0)</f>
        <v>精工2312</v>
      </c>
      <c r="E10" s="5">
        <v>9</v>
      </c>
      <c r="F10" s="7">
        <v>0.31034499999999998</v>
      </c>
      <c r="G10" s="8">
        <v>85.451800000000006</v>
      </c>
      <c r="H10" s="5">
        <v>64</v>
      </c>
      <c r="I10" s="5">
        <v>140</v>
      </c>
      <c r="J10" s="5">
        <v>0</v>
      </c>
      <c r="K10" s="5">
        <v>0</v>
      </c>
      <c r="L10" s="6" t="s">
        <v>27</v>
      </c>
      <c r="M10" s="6">
        <v>1.9</v>
      </c>
      <c r="N10" s="6">
        <v>2.7</v>
      </c>
      <c r="O10" s="6">
        <v>7.5</v>
      </c>
      <c r="P10" s="6">
        <v>7.18</v>
      </c>
      <c r="Q10" s="6">
        <v>10.7</v>
      </c>
      <c r="R10" s="6"/>
      <c r="S10" s="6">
        <f>SUM(M10:Q10)</f>
        <v>29.98</v>
      </c>
      <c r="T10" s="6">
        <f>COUNTIFS($Y:$Y, Y10, $S:$S, "&gt;"&amp;S10) + 1</f>
        <v>7</v>
      </c>
      <c r="U10" s="6">
        <f>0.85*E10+T10*0.15</f>
        <v>8.6999999999999993</v>
      </c>
      <c r="V10" s="6">
        <f>100.4-0.4*W10</f>
        <v>96.800000000000011</v>
      </c>
      <c r="W10" s="6">
        <f>COUNTIFS($Y:$Y, Y10, $U:$U, "&lt;"&amp;U10) + 1</f>
        <v>9</v>
      </c>
      <c r="X10" s="5">
        <v>29</v>
      </c>
      <c r="Y10" s="6" t="s">
        <v>125</v>
      </c>
      <c r="Z10" s="10"/>
    </row>
    <row r="11" spans="1:26">
      <c r="A11" s="5">
        <v>105</v>
      </c>
      <c r="B11" s="5">
        <v>1120231420</v>
      </c>
      <c r="C11" s="6" t="s">
        <v>134</v>
      </c>
      <c r="D11" s="6" t="str">
        <f>VLOOKUP([1]成绩单!B11,[1]Sheet1!$A:$K,4,0)</f>
        <v>精工2311</v>
      </c>
      <c r="E11" s="5">
        <v>10</v>
      </c>
      <c r="F11" s="7">
        <v>0.34482800000000002</v>
      </c>
      <c r="G11" s="8">
        <v>83.966099999999997</v>
      </c>
      <c r="H11" s="5">
        <v>64</v>
      </c>
      <c r="I11" s="5">
        <v>140</v>
      </c>
      <c r="J11" s="5">
        <v>0</v>
      </c>
      <c r="K11" s="5">
        <v>0</v>
      </c>
      <c r="L11" s="6" t="s">
        <v>27</v>
      </c>
      <c r="M11" s="6">
        <v>5.4</v>
      </c>
      <c r="N11" s="6">
        <v>5.8</v>
      </c>
      <c r="O11" s="6">
        <v>8.1</v>
      </c>
      <c r="P11" s="6">
        <v>9</v>
      </c>
      <c r="Q11" s="6">
        <v>13.5</v>
      </c>
      <c r="R11" s="6"/>
      <c r="S11" s="6">
        <f>SUM(M11:Q11)</f>
        <v>41.8</v>
      </c>
      <c r="T11" s="6">
        <f>COUNTIFS($Y:$Y, Y11, $S:$S, "&gt;"&amp;S11) + 1</f>
        <v>5</v>
      </c>
      <c r="U11" s="6">
        <f>0.85*E11+T11*0.15</f>
        <v>9.25</v>
      </c>
      <c r="V11" s="6">
        <f>100.4-0.4*W11</f>
        <v>96.4</v>
      </c>
      <c r="W11" s="6">
        <f>COUNTIFS($Y:$Y, Y11, $U:$U, "&lt;"&amp;U11) + 1</f>
        <v>10</v>
      </c>
      <c r="X11" s="5">
        <v>29</v>
      </c>
      <c r="Y11" s="6" t="s">
        <v>125</v>
      </c>
      <c r="Z11" s="10"/>
    </row>
    <row r="12" spans="1:26">
      <c r="A12" s="5">
        <v>106</v>
      </c>
      <c r="B12" s="5">
        <v>1120233369</v>
      </c>
      <c r="C12" s="6" t="s">
        <v>135</v>
      </c>
      <c r="D12" s="6" t="str">
        <f>VLOOKUP([1]成绩单!B12,[1]Sheet1!$A:$K,4,0)</f>
        <v>精工2312</v>
      </c>
      <c r="E12" s="5">
        <v>11</v>
      </c>
      <c r="F12" s="7">
        <v>0.37930999999999998</v>
      </c>
      <c r="G12" s="8">
        <v>83.014200000000002</v>
      </c>
      <c r="H12" s="5">
        <v>65</v>
      </c>
      <c r="I12" s="11">
        <v>141.25</v>
      </c>
      <c r="J12" s="5">
        <v>0</v>
      </c>
      <c r="K12" s="5">
        <v>0</v>
      </c>
      <c r="L12" s="6" t="s">
        <v>27</v>
      </c>
      <c r="M12" s="6">
        <v>0.8</v>
      </c>
      <c r="N12" s="6">
        <v>0.55000000000000004</v>
      </c>
      <c r="O12" s="6">
        <v>0.9</v>
      </c>
      <c r="P12" s="6">
        <v>0.95</v>
      </c>
      <c r="Q12" s="6">
        <v>6.6</v>
      </c>
      <c r="R12" s="6"/>
      <c r="S12" s="6">
        <f>SUM(M12:Q12)</f>
        <v>9.8000000000000007</v>
      </c>
      <c r="T12" s="6">
        <f>COUNTIFS($Y:$Y, Y12, $S:$S, "&gt;"&amp;S12) + 1</f>
        <v>17</v>
      </c>
      <c r="U12" s="6">
        <f>0.85*E12+T12*0.15</f>
        <v>11.899999999999999</v>
      </c>
      <c r="V12" s="6">
        <f>100.4-0.4*W12</f>
        <v>96</v>
      </c>
      <c r="W12" s="6">
        <f>COUNTIFS($Y:$Y, Y12, $U:$U, "&lt;"&amp;U12) + 1</f>
        <v>11</v>
      </c>
      <c r="X12" s="5">
        <v>29</v>
      </c>
      <c r="Y12" s="6" t="s">
        <v>125</v>
      </c>
      <c r="Z12" s="10"/>
    </row>
    <row r="13" spans="1:26">
      <c r="A13" s="5">
        <v>107</v>
      </c>
      <c r="B13" s="5">
        <v>1120231317</v>
      </c>
      <c r="C13" s="6" t="s">
        <v>136</v>
      </c>
      <c r="D13" s="6" t="str">
        <f>VLOOKUP([1]成绩单!B14,[1]Sheet1!$A:$K,4,0)</f>
        <v>精工2313</v>
      </c>
      <c r="E13" s="5">
        <v>13</v>
      </c>
      <c r="F13" s="7">
        <v>0.44827600000000001</v>
      </c>
      <c r="G13" s="8">
        <v>82.2196</v>
      </c>
      <c r="H13" s="5">
        <v>63</v>
      </c>
      <c r="I13" s="5">
        <v>140</v>
      </c>
      <c r="J13" s="5">
        <v>0</v>
      </c>
      <c r="K13" s="5">
        <v>0</v>
      </c>
      <c r="L13" s="6" t="s">
        <v>27</v>
      </c>
      <c r="M13" s="6">
        <v>6.5</v>
      </c>
      <c r="N13" s="6">
        <v>5.74</v>
      </c>
      <c r="O13" s="6">
        <v>6.3</v>
      </c>
      <c r="P13" s="6">
        <v>5.3</v>
      </c>
      <c r="Q13" s="6">
        <v>6.2</v>
      </c>
      <c r="R13" s="6"/>
      <c r="S13" s="6">
        <f>SUM(M13:Q13)</f>
        <v>30.04</v>
      </c>
      <c r="T13" s="6">
        <f>COUNTIFS($Y:$Y, Y13, $S:$S, "&gt;"&amp;S13) + 1</f>
        <v>6</v>
      </c>
      <c r="U13" s="6">
        <f>0.85*E13+T13*0.15</f>
        <v>11.95</v>
      </c>
      <c r="V13" s="6">
        <f>100.4-0.4*W13</f>
        <v>95.600000000000009</v>
      </c>
      <c r="W13" s="6">
        <f>COUNTIFS($Y:$Y, Y13, $U:$U, "&lt;"&amp;U13) + 1</f>
        <v>12</v>
      </c>
      <c r="X13" s="5">
        <v>29</v>
      </c>
      <c r="Y13" s="6" t="s">
        <v>125</v>
      </c>
      <c r="Z13" s="10"/>
    </row>
    <row r="14" spans="1:26">
      <c r="A14" s="5">
        <v>108</v>
      </c>
      <c r="B14" s="5">
        <v>1120233024</v>
      </c>
      <c r="C14" s="6" t="s">
        <v>137</v>
      </c>
      <c r="D14" s="6" t="str">
        <f>VLOOKUP([1]成绩单!B13,[1]Sheet1!$A:$K,4,0)</f>
        <v>精工2313</v>
      </c>
      <c r="E14" s="5">
        <v>12</v>
      </c>
      <c r="F14" s="7">
        <v>0.41379300000000002</v>
      </c>
      <c r="G14" s="8">
        <v>82.702100000000002</v>
      </c>
      <c r="H14" s="5">
        <v>64</v>
      </c>
      <c r="I14" s="5">
        <v>141</v>
      </c>
      <c r="J14" s="5">
        <v>1</v>
      </c>
      <c r="K14" s="5">
        <v>1</v>
      </c>
      <c r="L14" s="6" t="s">
        <v>27</v>
      </c>
      <c r="M14" s="6">
        <v>0.35</v>
      </c>
      <c r="N14" s="6">
        <v>1.8</v>
      </c>
      <c r="O14" s="6">
        <v>3</v>
      </c>
      <c r="P14" s="6">
        <v>3</v>
      </c>
      <c r="Q14" s="6">
        <v>3</v>
      </c>
      <c r="R14" s="6"/>
      <c r="S14" s="6">
        <f>SUM(M14:Q14)</f>
        <v>11.15</v>
      </c>
      <c r="T14" s="6">
        <f>COUNTIFS($Y:$Y, Y14, $S:$S, "&gt;"&amp;S14) + 1</f>
        <v>13</v>
      </c>
      <c r="U14" s="6">
        <f>0.85*E14+T14*0.15</f>
        <v>12.149999999999999</v>
      </c>
      <c r="V14" s="6">
        <f>100.4-0.4*W14</f>
        <v>95.2</v>
      </c>
      <c r="W14" s="6">
        <f>COUNTIFS($Y:$Y, Y14, $U:$U, "&lt;"&amp;U14) + 1</f>
        <v>13</v>
      </c>
      <c r="X14" s="5">
        <v>29</v>
      </c>
      <c r="Y14" s="6" t="s">
        <v>125</v>
      </c>
      <c r="Z14" s="10"/>
    </row>
    <row r="15" spans="1:26">
      <c r="A15" s="5">
        <v>109</v>
      </c>
      <c r="B15" s="5">
        <v>1120232209</v>
      </c>
      <c r="C15" s="6" t="s">
        <v>138</v>
      </c>
      <c r="D15" s="6" t="str">
        <f>VLOOKUP([1]成绩单!B16,[1]Sheet1!$A:$K,4,0)</f>
        <v>精工2310</v>
      </c>
      <c r="E15" s="5">
        <v>15</v>
      </c>
      <c r="F15" s="7">
        <v>0.51724099999999995</v>
      </c>
      <c r="G15" s="8">
        <v>78.9696</v>
      </c>
      <c r="H15" s="5">
        <v>64</v>
      </c>
      <c r="I15" s="5">
        <v>140</v>
      </c>
      <c r="J15" s="5">
        <v>1</v>
      </c>
      <c r="K15" s="5">
        <v>1</v>
      </c>
      <c r="L15" s="6" t="s">
        <v>27</v>
      </c>
      <c r="M15" s="6">
        <v>2.4</v>
      </c>
      <c r="N15" s="6">
        <v>4.4000000000000004</v>
      </c>
      <c r="O15" s="6">
        <v>6.3</v>
      </c>
      <c r="P15" s="6">
        <v>7.8</v>
      </c>
      <c r="Q15" s="6">
        <v>6.5</v>
      </c>
      <c r="R15" s="6"/>
      <c r="S15" s="6">
        <f>SUM(M15:Q15)</f>
        <v>27.400000000000002</v>
      </c>
      <c r="T15" s="6">
        <f>COUNTIFS($Y:$Y, Y15, $S:$S, "&gt;"&amp;S15) + 1</f>
        <v>8</v>
      </c>
      <c r="U15" s="6">
        <f>0.85*E15+T15*0.15</f>
        <v>13.95</v>
      </c>
      <c r="V15" s="6">
        <f>100.4-0.4*W15</f>
        <v>94.800000000000011</v>
      </c>
      <c r="W15" s="6">
        <f>COUNTIFS($Y:$Y, Y15, $U:$U, "&lt;"&amp;U15) + 1</f>
        <v>14</v>
      </c>
      <c r="X15" s="5">
        <v>29</v>
      </c>
      <c r="Y15" s="6" t="s">
        <v>125</v>
      </c>
      <c r="Z15" s="10"/>
    </row>
    <row r="16" spans="1:26">
      <c r="A16" s="5">
        <v>110</v>
      </c>
      <c r="B16" s="5">
        <v>1120232288</v>
      </c>
      <c r="C16" s="6" t="s">
        <v>139</v>
      </c>
      <c r="D16" s="6" t="str">
        <f>VLOOKUP([1]成绩单!B15,[1]Sheet1!$A:$K,4,0)</f>
        <v>精工2311</v>
      </c>
      <c r="E16" s="5">
        <v>14</v>
      </c>
      <c r="F16" s="7">
        <v>0.48275899999999999</v>
      </c>
      <c r="G16" s="8">
        <v>80.283000000000001</v>
      </c>
      <c r="H16" s="5">
        <v>65</v>
      </c>
      <c r="I16" s="11">
        <v>142.25</v>
      </c>
      <c r="J16" s="5">
        <v>1</v>
      </c>
      <c r="K16" s="5">
        <v>1</v>
      </c>
      <c r="L16" s="6" t="s">
        <v>27</v>
      </c>
      <c r="M16" s="6">
        <v>0</v>
      </c>
      <c r="N16" s="6">
        <v>0.3</v>
      </c>
      <c r="O16" s="6">
        <v>1.9</v>
      </c>
      <c r="P16" s="6">
        <v>1.1499999999999999</v>
      </c>
      <c r="Q16" s="6">
        <v>1.4</v>
      </c>
      <c r="R16" s="6"/>
      <c r="S16" s="6">
        <f>SUM(M16:Q16)</f>
        <v>4.75</v>
      </c>
      <c r="T16" s="6">
        <f>COUNTIFS($Y:$Y, Y16, $S:$S, "&gt;"&amp;S16) + 1</f>
        <v>21</v>
      </c>
      <c r="U16" s="6">
        <f>0.85*E16+T16*0.15</f>
        <v>15.05</v>
      </c>
      <c r="V16" s="6">
        <f>100.4-0.4*W16</f>
        <v>94.4</v>
      </c>
      <c r="W16" s="6">
        <f>COUNTIFS($Y:$Y, Y16, $U:$U, "&lt;"&amp;U16) + 1</f>
        <v>15</v>
      </c>
      <c r="X16" s="5">
        <v>29</v>
      </c>
      <c r="Y16" s="6" t="s">
        <v>125</v>
      </c>
      <c r="Z16" s="10"/>
    </row>
    <row r="17" spans="1:26">
      <c r="A17" s="5">
        <v>111</v>
      </c>
      <c r="B17" s="5">
        <v>1120231018</v>
      </c>
      <c r="C17" s="6" t="s">
        <v>140</v>
      </c>
      <c r="D17" s="6" t="str">
        <f>VLOOKUP([1]成绩单!B17,[1]Sheet1!$A:$K,4,0)</f>
        <v>精工2313</v>
      </c>
      <c r="E17" s="5">
        <v>16</v>
      </c>
      <c r="F17" s="7">
        <v>0.55172399999999999</v>
      </c>
      <c r="G17" s="8">
        <v>76.726600000000005</v>
      </c>
      <c r="H17" s="5">
        <v>63</v>
      </c>
      <c r="I17" s="5">
        <v>139</v>
      </c>
      <c r="J17" s="5">
        <v>2</v>
      </c>
      <c r="K17" s="5">
        <v>2</v>
      </c>
      <c r="L17" s="6" t="s">
        <v>27</v>
      </c>
      <c r="M17" s="6">
        <v>0</v>
      </c>
      <c r="N17" s="6">
        <v>1.75</v>
      </c>
      <c r="O17" s="6">
        <v>1</v>
      </c>
      <c r="P17" s="6">
        <v>1</v>
      </c>
      <c r="Q17" s="6">
        <v>1</v>
      </c>
      <c r="R17" s="6"/>
      <c r="S17" s="6">
        <f>SUM(M17:Q17)</f>
        <v>4.75</v>
      </c>
      <c r="T17" s="6">
        <f>COUNTIFS($Y:$Y, Y17, $S:$S, "&gt;"&amp;S17) + 1</f>
        <v>21</v>
      </c>
      <c r="U17" s="6">
        <f>0.85*E17+T17*0.15</f>
        <v>16.75</v>
      </c>
      <c r="V17" s="6">
        <f>100.4-0.4*W17</f>
        <v>94</v>
      </c>
      <c r="W17" s="6">
        <f>COUNTIFS($Y:$Y, Y17, $U:$U, "&lt;"&amp;U17) + 1</f>
        <v>16</v>
      </c>
      <c r="X17" s="5">
        <v>29</v>
      </c>
      <c r="Y17" s="6" t="s">
        <v>125</v>
      </c>
      <c r="Z17" s="10"/>
    </row>
    <row r="18" spans="1:26">
      <c r="A18" s="5">
        <v>112</v>
      </c>
      <c r="B18" s="5">
        <v>1120231418</v>
      </c>
      <c r="C18" s="6" t="s">
        <v>141</v>
      </c>
      <c r="D18" s="6" t="str">
        <f>VLOOKUP([1]成绩单!B19,[1]Sheet1!$A:$K,4,0)</f>
        <v>精工2311</v>
      </c>
      <c r="E18" s="5">
        <v>18</v>
      </c>
      <c r="F18" s="7">
        <v>0.62068999999999996</v>
      </c>
      <c r="G18" s="8">
        <v>75.041399999999996</v>
      </c>
      <c r="H18" s="5">
        <v>63</v>
      </c>
      <c r="I18" s="5">
        <v>139</v>
      </c>
      <c r="J18" s="5">
        <v>1</v>
      </c>
      <c r="K18" s="5">
        <v>1</v>
      </c>
      <c r="L18" s="6" t="s">
        <v>27</v>
      </c>
      <c r="M18" s="6">
        <v>3.9</v>
      </c>
      <c r="N18" s="6">
        <v>5.0999999999999996</v>
      </c>
      <c r="O18" s="6">
        <v>0</v>
      </c>
      <c r="P18" s="6">
        <v>1.4</v>
      </c>
      <c r="Q18" s="6">
        <v>0</v>
      </c>
      <c r="R18" s="6"/>
      <c r="S18" s="6">
        <f>SUM(M18:Q18)</f>
        <v>10.4</v>
      </c>
      <c r="T18" s="6">
        <f>COUNTIFS($Y:$Y, Y18, $S:$S, "&gt;"&amp;S18) + 1</f>
        <v>15</v>
      </c>
      <c r="U18" s="6">
        <f>0.85*E18+T18*0.15</f>
        <v>17.549999999999997</v>
      </c>
      <c r="V18" s="6">
        <f>100.4-0.4*W18</f>
        <v>93.600000000000009</v>
      </c>
      <c r="W18" s="6">
        <f>COUNTIFS($Y:$Y, Y18, $U:$U, "&lt;"&amp;U18) + 1</f>
        <v>17</v>
      </c>
      <c r="X18" s="5">
        <v>29</v>
      </c>
      <c r="Y18" s="6" t="s">
        <v>125</v>
      </c>
      <c r="Z18" s="10"/>
    </row>
    <row r="19" spans="1:26">
      <c r="A19" s="5">
        <v>113</v>
      </c>
      <c r="B19" s="5">
        <v>1120232915</v>
      </c>
      <c r="C19" s="6" t="s">
        <v>142</v>
      </c>
      <c r="D19" s="6" t="str">
        <f>VLOOKUP([1]成绩单!B18,[1]Sheet1!$A:$K,4,0)</f>
        <v>精工2311</v>
      </c>
      <c r="E19" s="5">
        <v>17</v>
      </c>
      <c r="F19" s="7">
        <v>0.58620700000000003</v>
      </c>
      <c r="G19" s="8">
        <v>76.715599999999995</v>
      </c>
      <c r="H19" s="5">
        <v>63</v>
      </c>
      <c r="I19" s="5">
        <v>138</v>
      </c>
      <c r="J19" s="5">
        <v>1</v>
      </c>
      <c r="K19" s="5">
        <v>0</v>
      </c>
      <c r="L19" s="6" t="s">
        <v>27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/>
      <c r="S19" s="6">
        <f>SUM(M19:Q19)</f>
        <v>0</v>
      </c>
      <c r="T19" s="6">
        <f>COUNTIFS($Y:$Y, Y19, $S:$S, "&gt;"&amp;S19) + 1</f>
        <v>24</v>
      </c>
      <c r="U19" s="6">
        <f>0.85*E19+T19*0.15</f>
        <v>18.049999999999997</v>
      </c>
      <c r="V19" s="6">
        <f>100.4-0.4*W19</f>
        <v>93.2</v>
      </c>
      <c r="W19" s="6">
        <f>COUNTIFS($Y:$Y, Y19, $U:$U, "&lt;"&amp;U19) + 1</f>
        <v>18</v>
      </c>
      <c r="X19" s="5">
        <v>29</v>
      </c>
      <c r="Y19" s="6" t="s">
        <v>125</v>
      </c>
      <c r="Z19" s="10"/>
    </row>
    <row r="20" spans="1:26">
      <c r="A20" s="5">
        <v>114</v>
      </c>
      <c r="B20" s="5">
        <v>1120231013</v>
      </c>
      <c r="C20" s="6" t="s">
        <v>143</v>
      </c>
      <c r="D20" s="6" t="str">
        <f>VLOOKUP([1]成绩单!B21,[1]Sheet1!$A:$K,4,0)</f>
        <v>精工2313</v>
      </c>
      <c r="E20" s="5">
        <v>20</v>
      </c>
      <c r="F20" s="7">
        <v>0.68965500000000002</v>
      </c>
      <c r="G20" s="8">
        <v>74.275599999999997</v>
      </c>
      <c r="H20" s="5">
        <v>66</v>
      </c>
      <c r="I20" s="11">
        <v>144.25</v>
      </c>
      <c r="J20" s="5">
        <v>2</v>
      </c>
      <c r="K20" s="5">
        <v>2</v>
      </c>
      <c r="L20" s="6" t="s">
        <v>27</v>
      </c>
      <c r="M20" s="6">
        <v>0.5</v>
      </c>
      <c r="N20" s="6">
        <v>-0.17499999999999999</v>
      </c>
      <c r="O20" s="6">
        <v>0.55000000000000004</v>
      </c>
      <c r="P20" s="6">
        <v>4</v>
      </c>
      <c r="Q20" s="6">
        <v>0</v>
      </c>
      <c r="R20" s="6"/>
      <c r="S20" s="6">
        <f>SUM(M20:Q20)</f>
        <v>4.875</v>
      </c>
      <c r="T20" s="6">
        <f>COUNTIFS($Y:$Y, Y20, $S:$S, "&gt;"&amp;S20) + 1</f>
        <v>20</v>
      </c>
      <c r="U20" s="6">
        <f>0.85*E20+T20*0.15</f>
        <v>20</v>
      </c>
      <c r="V20" s="6">
        <f>100.4-0.4*W20</f>
        <v>92.800000000000011</v>
      </c>
      <c r="W20" s="6">
        <f>COUNTIFS($Y:$Y, Y20, $U:$U, "&lt;"&amp;U20) + 1</f>
        <v>19</v>
      </c>
      <c r="X20" s="5">
        <v>29</v>
      </c>
      <c r="Y20" s="6" t="s">
        <v>125</v>
      </c>
      <c r="Z20" s="10"/>
    </row>
    <row r="21" spans="1:26">
      <c r="A21" s="5">
        <v>115</v>
      </c>
      <c r="B21" s="5">
        <v>1120234021</v>
      </c>
      <c r="C21" s="6" t="s">
        <v>144</v>
      </c>
      <c r="D21" s="6" t="str">
        <f>VLOOKUP([1]成绩单!B23,[1]Sheet1!$A:$K,4,0)</f>
        <v>精工2312</v>
      </c>
      <c r="E21" s="5">
        <v>22</v>
      </c>
      <c r="F21" s="7">
        <v>0.75862099999999999</v>
      </c>
      <c r="G21" s="8">
        <v>69.828199999999995</v>
      </c>
      <c r="H21" s="5">
        <v>62</v>
      </c>
      <c r="I21" s="11">
        <v>138.25</v>
      </c>
      <c r="J21" s="5">
        <v>4</v>
      </c>
      <c r="K21" s="5">
        <v>2</v>
      </c>
      <c r="L21" s="6" t="s">
        <v>96</v>
      </c>
      <c r="M21" s="6">
        <v>3.5</v>
      </c>
      <c r="N21" s="6">
        <v>2.8</v>
      </c>
      <c r="O21" s="6">
        <v>3.5</v>
      </c>
      <c r="P21" s="6">
        <v>4.8</v>
      </c>
      <c r="Q21" s="6">
        <v>1.8</v>
      </c>
      <c r="R21" s="6"/>
      <c r="S21" s="6">
        <f>SUM(M21:Q21)</f>
        <v>16.400000000000002</v>
      </c>
      <c r="T21" s="6">
        <f>COUNTIFS($Y:$Y, Y21, $S:$S, "&gt;"&amp;S21) + 1</f>
        <v>10</v>
      </c>
      <c r="U21" s="6">
        <f>0.85*E21+T21*0.15</f>
        <v>20.2</v>
      </c>
      <c r="V21" s="6">
        <f>100.4-0.4*W21</f>
        <v>92.4</v>
      </c>
      <c r="W21" s="6">
        <f>COUNTIFS($Y:$Y, Y21, $U:$U, "&lt;"&amp;U21) + 1</f>
        <v>20</v>
      </c>
      <c r="X21" s="5">
        <v>29</v>
      </c>
      <c r="Y21" s="6" t="s">
        <v>125</v>
      </c>
      <c r="Z21" s="10"/>
    </row>
    <row r="22" spans="1:26">
      <c r="A22" s="5">
        <v>116</v>
      </c>
      <c r="B22" s="5">
        <v>1120231282</v>
      </c>
      <c r="C22" s="6" t="s">
        <v>145</v>
      </c>
      <c r="D22" s="6" t="str">
        <f>VLOOKUP([1]成绩单!B20,[1]Sheet1!$A:$K,4,0)</f>
        <v>精工2312</v>
      </c>
      <c r="E22" s="5">
        <v>19</v>
      </c>
      <c r="F22" s="7">
        <v>0.65517199999999998</v>
      </c>
      <c r="G22" s="8">
        <v>74.897499999999994</v>
      </c>
      <c r="H22" s="5">
        <v>64</v>
      </c>
      <c r="I22" s="5">
        <v>139</v>
      </c>
      <c r="J22" s="5">
        <v>1</v>
      </c>
      <c r="K22" s="5">
        <v>1</v>
      </c>
      <c r="L22" s="6" t="s">
        <v>27</v>
      </c>
      <c r="M22" s="6">
        <v>0</v>
      </c>
      <c r="N22" s="6">
        <v>-0.5</v>
      </c>
      <c r="O22" s="6">
        <v>0</v>
      </c>
      <c r="P22" s="6">
        <v>0</v>
      </c>
      <c r="Q22" s="6">
        <v>0</v>
      </c>
      <c r="R22" s="6"/>
      <c r="S22" s="6">
        <f>SUM(M22:Q22)</f>
        <v>-0.5</v>
      </c>
      <c r="T22" s="6">
        <f>COUNTIFS($Y:$Y, Y22, $S:$S, "&gt;"&amp;S22) + 1</f>
        <v>28</v>
      </c>
      <c r="U22" s="6">
        <f>0.85*E22+T22*0.15</f>
        <v>20.349999999999998</v>
      </c>
      <c r="V22" s="6">
        <f>100.4-0.4*W22</f>
        <v>92</v>
      </c>
      <c r="W22" s="6">
        <f>COUNTIFS($Y:$Y, Y22, $U:$U, "&lt;"&amp;U22) + 1</f>
        <v>21</v>
      </c>
      <c r="X22" s="5">
        <v>29</v>
      </c>
      <c r="Y22" s="6" t="s">
        <v>125</v>
      </c>
      <c r="Z22" s="10"/>
    </row>
    <row r="23" spans="1:26">
      <c r="A23" s="5">
        <v>117</v>
      </c>
      <c r="B23" s="5">
        <v>1120232212</v>
      </c>
      <c r="C23" s="6" t="s">
        <v>146</v>
      </c>
      <c r="D23" s="6" t="str">
        <f>VLOOKUP([1]成绩单!B22,[1]Sheet1!$A:$K,4,0)</f>
        <v>精工2310</v>
      </c>
      <c r="E23" s="5">
        <v>21</v>
      </c>
      <c r="F23" s="7">
        <v>0.72413799999999995</v>
      </c>
      <c r="G23" s="8">
        <v>73.063000000000002</v>
      </c>
      <c r="H23" s="5">
        <v>60</v>
      </c>
      <c r="I23" s="5">
        <v>135</v>
      </c>
      <c r="J23" s="5">
        <v>1</v>
      </c>
      <c r="K23" s="5">
        <v>0</v>
      </c>
      <c r="L23" s="6" t="s">
        <v>27</v>
      </c>
      <c r="M23" s="6">
        <v>0.3</v>
      </c>
      <c r="N23" s="6">
        <v>-0.5</v>
      </c>
      <c r="O23" s="6">
        <v>0</v>
      </c>
      <c r="P23" s="6">
        <v>-1.5</v>
      </c>
      <c r="Q23" s="6">
        <v>0</v>
      </c>
      <c r="R23" s="6"/>
      <c r="S23" s="6">
        <f>SUM(M23:Q23)</f>
        <v>-1.7</v>
      </c>
      <c r="T23" s="6">
        <f>COUNTIFS($Y:$Y, Y23, $S:$S, "&gt;"&amp;S23) + 1</f>
        <v>29</v>
      </c>
      <c r="U23" s="6">
        <f>0.85*E23+T23*0.15</f>
        <v>22.199999999999996</v>
      </c>
      <c r="V23" s="6">
        <f>100.4-0.4*W23</f>
        <v>91.600000000000009</v>
      </c>
      <c r="W23" s="6">
        <f>COUNTIFS($Y:$Y, Y23, $U:$U, "&lt;"&amp;U23) + 1</f>
        <v>22</v>
      </c>
      <c r="X23" s="5">
        <v>29</v>
      </c>
      <c r="Y23" s="6" t="s">
        <v>125</v>
      </c>
      <c r="Z23" s="10"/>
    </row>
    <row r="24" spans="1:26">
      <c r="A24" s="5">
        <v>118</v>
      </c>
      <c r="B24" s="5">
        <v>1120232754</v>
      </c>
      <c r="C24" s="6" t="s">
        <v>147</v>
      </c>
      <c r="D24" s="6" t="str">
        <f>VLOOKUP([1]成绩单!B24,[1]Sheet1!$A:$K,4,0)</f>
        <v>精工2312</v>
      </c>
      <c r="E24" s="5">
        <v>23</v>
      </c>
      <c r="F24" s="7">
        <v>0.793103</v>
      </c>
      <c r="G24" s="8">
        <v>68.339299999999994</v>
      </c>
      <c r="H24" s="5">
        <v>64</v>
      </c>
      <c r="I24" s="5">
        <v>140</v>
      </c>
      <c r="J24" s="5">
        <v>6</v>
      </c>
      <c r="K24" s="5">
        <v>3</v>
      </c>
      <c r="L24" s="6" t="s">
        <v>27</v>
      </c>
      <c r="M24" s="6">
        <v>0</v>
      </c>
      <c r="N24" s="6">
        <v>3.65</v>
      </c>
      <c r="O24" s="6">
        <v>0</v>
      </c>
      <c r="P24" s="6">
        <v>-0.5</v>
      </c>
      <c r="Q24" s="6">
        <v>2.2000000000000002</v>
      </c>
      <c r="R24" s="6"/>
      <c r="S24" s="6">
        <f>SUM(M24:Q24)</f>
        <v>5.35</v>
      </c>
      <c r="T24" s="6">
        <f>COUNTIFS($Y:$Y, Y24, $S:$S, "&gt;"&amp;S24) + 1</f>
        <v>19</v>
      </c>
      <c r="U24" s="6">
        <f>0.85*E24+T24*0.15</f>
        <v>22.400000000000002</v>
      </c>
      <c r="V24" s="6">
        <f>100.4-0.4*W24</f>
        <v>91.2</v>
      </c>
      <c r="W24" s="6">
        <f>COUNTIFS($Y:$Y, Y24, $U:$U, "&lt;"&amp;U24) + 1</f>
        <v>23</v>
      </c>
      <c r="X24" s="5">
        <v>29</v>
      </c>
      <c r="Y24" s="6" t="s">
        <v>125</v>
      </c>
      <c r="Z24" s="10"/>
    </row>
    <row r="25" spans="1:26">
      <c r="A25" s="5">
        <v>119</v>
      </c>
      <c r="B25" s="5">
        <v>1120231434</v>
      </c>
      <c r="C25" s="6" t="s">
        <v>148</v>
      </c>
      <c r="D25" s="6" t="str">
        <f>VLOOKUP([1]成绩单!B25,[1]Sheet1!$A:$K,4,0)</f>
        <v>精工2312</v>
      </c>
      <c r="E25" s="5">
        <v>24</v>
      </c>
      <c r="F25" s="7">
        <v>0.82758600000000004</v>
      </c>
      <c r="G25" s="8">
        <v>67.2196</v>
      </c>
      <c r="H25" s="5">
        <v>64</v>
      </c>
      <c r="I25" s="5">
        <v>140</v>
      </c>
      <c r="J25" s="5">
        <v>4</v>
      </c>
      <c r="K25" s="5">
        <v>2</v>
      </c>
      <c r="L25" s="6" t="s">
        <v>27</v>
      </c>
      <c r="M25" s="6">
        <v>1</v>
      </c>
      <c r="N25" s="6">
        <v>1.3</v>
      </c>
      <c r="O25" s="6">
        <v>3</v>
      </c>
      <c r="P25" s="6">
        <v>2</v>
      </c>
      <c r="Q25" s="6">
        <v>3.5</v>
      </c>
      <c r="R25" s="6"/>
      <c r="S25" s="6">
        <f>SUM(M25:Q25)</f>
        <v>10.8</v>
      </c>
      <c r="T25" s="6">
        <f>COUNTIFS($Y:$Y, Y25, $S:$S, "&gt;"&amp;S25) + 1</f>
        <v>14</v>
      </c>
      <c r="U25" s="6">
        <f>0.85*E25+T25*0.15</f>
        <v>22.5</v>
      </c>
      <c r="V25" s="6">
        <f>100.4-0.4*W25</f>
        <v>90.800000000000011</v>
      </c>
      <c r="W25" s="6">
        <f>COUNTIFS($Y:$Y, Y25, $U:$U, "&lt;"&amp;U25) + 1</f>
        <v>24</v>
      </c>
      <c r="X25" s="5">
        <v>29</v>
      </c>
      <c r="Y25" s="6" t="s">
        <v>125</v>
      </c>
      <c r="Z25" s="10"/>
    </row>
    <row r="26" spans="1:26">
      <c r="A26" s="5">
        <v>120</v>
      </c>
      <c r="B26" s="5">
        <v>1120230740</v>
      </c>
      <c r="C26" s="6" t="s">
        <v>149</v>
      </c>
      <c r="D26" s="6" t="str">
        <f>VLOOKUP([1]成绩单!B26,[1]Sheet1!$A:$K,4,0)</f>
        <v>精工2311</v>
      </c>
      <c r="E26" s="5">
        <v>25</v>
      </c>
      <c r="F26" s="7">
        <v>0.86206899999999997</v>
      </c>
      <c r="G26" s="8">
        <v>65.991</v>
      </c>
      <c r="H26" s="5">
        <v>63</v>
      </c>
      <c r="I26" s="5">
        <v>139</v>
      </c>
      <c r="J26" s="5">
        <v>6</v>
      </c>
      <c r="K26" s="5">
        <v>2</v>
      </c>
      <c r="L26" s="6" t="s">
        <v>27</v>
      </c>
      <c r="M26" s="6">
        <v>0.9</v>
      </c>
      <c r="N26" s="6">
        <v>1.4</v>
      </c>
      <c r="O26" s="6">
        <v>0.2</v>
      </c>
      <c r="P26" s="6">
        <v>0.2</v>
      </c>
      <c r="Q26" s="6">
        <v>1</v>
      </c>
      <c r="R26" s="6"/>
      <c r="S26" s="6">
        <f>SUM(M26:Q26)</f>
        <v>3.7</v>
      </c>
      <c r="T26" s="6">
        <f>COUNTIFS($Y:$Y, Y26, $S:$S, "&gt;"&amp;S26) + 1</f>
        <v>23</v>
      </c>
      <c r="U26" s="6">
        <f>0.85*E26+T26*0.15</f>
        <v>24.7</v>
      </c>
      <c r="V26" s="6">
        <f>100.4-0.4*W26</f>
        <v>90.4</v>
      </c>
      <c r="W26" s="6">
        <f>COUNTIFS($Y:$Y, Y26, $U:$U, "&lt;"&amp;U26) + 1</f>
        <v>25</v>
      </c>
      <c r="X26" s="5">
        <v>29</v>
      </c>
      <c r="Y26" s="6" t="s">
        <v>125</v>
      </c>
      <c r="Z26" s="10"/>
    </row>
    <row r="27" spans="1:26">
      <c r="A27" s="5">
        <v>121</v>
      </c>
      <c r="B27" s="5">
        <v>1120222858</v>
      </c>
      <c r="C27" s="6" t="s">
        <v>150</v>
      </c>
      <c r="D27" s="6" t="str">
        <f>VLOOKUP([1]成绩单!B27,[1]Sheet1!$A:$K,4,0)</f>
        <v>精工2312</v>
      </c>
      <c r="E27" s="5">
        <v>26</v>
      </c>
      <c r="F27" s="7">
        <v>0.89655200000000002</v>
      </c>
      <c r="G27" s="8">
        <v>65.682500000000005</v>
      </c>
      <c r="H27" s="5">
        <v>62</v>
      </c>
      <c r="I27" s="5">
        <v>137</v>
      </c>
      <c r="J27" s="5">
        <v>6</v>
      </c>
      <c r="K27" s="5">
        <v>5</v>
      </c>
      <c r="L27" s="6" t="s">
        <v>27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/>
      <c r="S27" s="6">
        <f>SUM(M27:Q27)</f>
        <v>0</v>
      </c>
      <c r="T27" s="6">
        <f>COUNTIFS($Y:$Y, Y27, $S:$S, "&gt;"&amp;S27) + 1</f>
        <v>24</v>
      </c>
      <c r="U27" s="6">
        <f>0.85*E27+T27*0.15</f>
        <v>25.699999999999996</v>
      </c>
      <c r="V27" s="6">
        <f>100.4-0.4*W27</f>
        <v>90</v>
      </c>
      <c r="W27" s="6">
        <f>COUNTIFS($Y:$Y, Y27, $U:$U, "&lt;"&amp;U27) + 1</f>
        <v>26</v>
      </c>
      <c r="X27" s="5">
        <v>29</v>
      </c>
      <c r="Y27" s="6" t="s">
        <v>125</v>
      </c>
      <c r="Z27" s="10"/>
    </row>
    <row r="28" spans="1:26">
      <c r="A28" s="5">
        <v>122</v>
      </c>
      <c r="B28" s="5">
        <v>1120234031</v>
      </c>
      <c r="C28" s="6" t="s">
        <v>151</v>
      </c>
      <c r="D28" s="6" t="str">
        <f>VLOOKUP([1]成绩单!B29,[1]Sheet1!$A:$K,4,0)</f>
        <v>精工2312</v>
      </c>
      <c r="E28" s="5">
        <v>28</v>
      </c>
      <c r="F28" s="7">
        <v>0.96551699999999996</v>
      </c>
      <c r="G28" s="8">
        <v>62.092799999999997</v>
      </c>
      <c r="H28" s="5">
        <v>61</v>
      </c>
      <c r="I28" s="5">
        <v>132</v>
      </c>
      <c r="J28" s="5">
        <v>8</v>
      </c>
      <c r="K28" s="5">
        <v>2</v>
      </c>
      <c r="L28" s="6" t="s">
        <v>96</v>
      </c>
      <c r="M28" s="6">
        <v>2.7</v>
      </c>
      <c r="N28" s="6">
        <v>2.5</v>
      </c>
      <c r="O28" s="6">
        <v>1.7</v>
      </c>
      <c r="P28" s="6">
        <v>2.2000000000000002</v>
      </c>
      <c r="Q28" s="6">
        <v>1</v>
      </c>
      <c r="R28" s="6"/>
      <c r="S28" s="6">
        <f>SUM(M28:Q28)</f>
        <v>10.100000000000001</v>
      </c>
      <c r="T28" s="6">
        <f>COUNTIFS($Y:$Y, Y28, $S:$S, "&gt;"&amp;S28) + 1</f>
        <v>16</v>
      </c>
      <c r="U28" s="6">
        <f>0.85*E28+T28*0.15</f>
        <v>26.2</v>
      </c>
      <c r="V28" s="6">
        <f>100.4-0.4*W28</f>
        <v>89.600000000000009</v>
      </c>
      <c r="W28" s="6">
        <f>COUNTIFS($Y:$Y, Y28, $U:$U, "&lt;"&amp;U28) + 1</f>
        <v>27</v>
      </c>
      <c r="X28" s="5">
        <v>29</v>
      </c>
      <c r="Y28" s="6" t="s">
        <v>125</v>
      </c>
      <c r="Z28" s="10"/>
    </row>
    <row r="29" spans="1:26">
      <c r="A29" s="5">
        <v>123</v>
      </c>
      <c r="B29" s="5">
        <v>1120220682</v>
      </c>
      <c r="C29" s="6" t="s">
        <v>152</v>
      </c>
      <c r="D29" s="6" t="str">
        <f>VLOOKUP([1]成绩单!B28,[1]Sheet1!$A:$K,4,0)</f>
        <v>精工2313</v>
      </c>
      <c r="E29" s="5">
        <v>27</v>
      </c>
      <c r="F29" s="7">
        <v>0.93103400000000003</v>
      </c>
      <c r="G29" s="8">
        <v>64.048199999999994</v>
      </c>
      <c r="H29" s="5">
        <v>63</v>
      </c>
      <c r="I29" s="5">
        <v>140</v>
      </c>
      <c r="J29" s="5">
        <v>7</v>
      </c>
      <c r="K29" s="5">
        <v>6</v>
      </c>
      <c r="L29" s="6" t="s">
        <v>27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/>
      <c r="S29" s="6">
        <f>SUM(M29:Q29)</f>
        <v>0</v>
      </c>
      <c r="T29" s="6">
        <f>COUNTIFS($Y:$Y, Y29, $S:$S, "&gt;"&amp;S29) + 1</f>
        <v>24</v>
      </c>
      <c r="U29" s="6">
        <f>0.85*E29+T29*0.15</f>
        <v>26.549999999999997</v>
      </c>
      <c r="V29" s="6">
        <f>100.4-0.4*W29</f>
        <v>89.2</v>
      </c>
      <c r="W29" s="6">
        <f>COUNTIFS($Y:$Y, Y29, $U:$U, "&lt;"&amp;U29) + 1</f>
        <v>28</v>
      </c>
      <c r="X29" s="5">
        <v>29</v>
      </c>
      <c r="Y29" s="6" t="s">
        <v>125</v>
      </c>
      <c r="Z29" s="10"/>
    </row>
    <row r="30" spans="1:26">
      <c r="A30" s="5">
        <v>124</v>
      </c>
      <c r="B30" s="5">
        <v>1120223682</v>
      </c>
      <c r="C30" s="6" t="s">
        <v>153</v>
      </c>
      <c r="D30" s="6" t="str">
        <f>VLOOKUP([1]成绩单!B30,[1]Sheet1!$A:$K,4,0)</f>
        <v>精工2310</v>
      </c>
      <c r="E30" s="5">
        <v>29</v>
      </c>
      <c r="F30" s="7">
        <v>1</v>
      </c>
      <c r="G30" s="8">
        <v>57.216099999999997</v>
      </c>
      <c r="H30" s="5">
        <v>64</v>
      </c>
      <c r="I30" s="5">
        <v>140</v>
      </c>
      <c r="J30" s="5">
        <v>12</v>
      </c>
      <c r="K30" s="5">
        <v>12</v>
      </c>
      <c r="L30" s="6" t="s">
        <v>27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/>
      <c r="S30" s="6">
        <f>SUM(M30:Q30)</f>
        <v>0</v>
      </c>
      <c r="T30" s="6">
        <f>COUNTIFS($Y:$Y, Y30, $S:$S, "&gt;"&amp;S30) + 1</f>
        <v>24</v>
      </c>
      <c r="U30" s="6">
        <f>0.85*E30+T30*0.15</f>
        <v>28.25</v>
      </c>
      <c r="V30" s="6">
        <f>100.4-0.4*W30</f>
        <v>88.800000000000011</v>
      </c>
      <c r="W30" s="6">
        <f>COUNTIFS($Y:$Y, Y30, $U:$U, "&lt;"&amp;U30) + 1</f>
        <v>29</v>
      </c>
      <c r="X30" s="5">
        <v>29</v>
      </c>
      <c r="Y30" s="6" t="s">
        <v>125</v>
      </c>
      <c r="Z30" s="10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EAA6-3EB4-4B2D-BE5F-ADA6924F1E52}">
  <dimension ref="A1:Z90"/>
  <sheetViews>
    <sheetView workbookViewId="0">
      <selection activeCell="F86" sqref="F86"/>
    </sheetView>
  </sheetViews>
  <sheetFormatPr defaultRowHeight="13.9"/>
  <sheetData>
    <row r="1" spans="1:26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spans="1:26">
      <c r="A2" s="5">
        <v>125</v>
      </c>
      <c r="B2" s="5">
        <v>1120230742</v>
      </c>
      <c r="C2" s="6" t="s">
        <v>154</v>
      </c>
      <c r="D2" s="6" t="str">
        <f>VLOOKUP([1]成绩单!B2,[1]Sheet1!$A:$K,4,0)</f>
        <v>精工2310</v>
      </c>
      <c r="E2" s="5">
        <v>1</v>
      </c>
      <c r="F2" s="7">
        <v>1.1235999999999999E-2</v>
      </c>
      <c r="G2" s="8">
        <v>93.264700000000005</v>
      </c>
      <c r="H2" s="5">
        <v>60</v>
      </c>
      <c r="I2" s="5">
        <v>136</v>
      </c>
      <c r="J2" s="5">
        <v>0</v>
      </c>
      <c r="K2" s="5">
        <v>0</v>
      </c>
      <c r="L2" s="6" t="s">
        <v>27</v>
      </c>
      <c r="M2" s="6">
        <v>5</v>
      </c>
      <c r="N2" s="6">
        <v>5.7</v>
      </c>
      <c r="O2" s="6">
        <v>7.5</v>
      </c>
      <c r="P2" s="6">
        <v>14.1</v>
      </c>
      <c r="Q2" s="6">
        <v>18.3</v>
      </c>
      <c r="R2" s="6"/>
      <c r="S2" s="6">
        <f>SUM(M2:Q2)</f>
        <v>50.599999999999994</v>
      </c>
      <c r="T2" s="6">
        <f>COUNTIFS($Y:$Y, Y2, $S:$S, "&gt;"&amp;S2) + 1</f>
        <v>4</v>
      </c>
      <c r="U2" s="6">
        <f>0.85*E2+T2*0.15</f>
        <v>1.45</v>
      </c>
      <c r="V2" s="6">
        <f>100.4-0.4*W2</f>
        <v>100</v>
      </c>
      <c r="W2" s="6">
        <f>COUNTIFS($Y:$Y, Y2, $U:$U, "&lt;"&amp;U2) + 1</f>
        <v>1</v>
      </c>
      <c r="X2" s="5">
        <v>89</v>
      </c>
      <c r="Y2" s="6" t="s">
        <v>155</v>
      </c>
      <c r="Z2" s="10"/>
    </row>
    <row r="3" spans="1:26">
      <c r="A3" s="12">
        <v>126</v>
      </c>
      <c r="B3" s="12">
        <v>1120231263</v>
      </c>
      <c r="C3" s="13" t="s">
        <v>156</v>
      </c>
      <c r="D3" s="6" t="str">
        <f>VLOOKUP([1]成绩单!B4,[1]Sheet1!$A:$K,4,0)</f>
        <v>精工2310</v>
      </c>
      <c r="E3" s="12">
        <v>3</v>
      </c>
      <c r="F3" s="14">
        <v>3.3708000000000002E-2</v>
      </c>
      <c r="G3" s="15">
        <v>92.334599999999995</v>
      </c>
      <c r="H3" s="12">
        <v>60</v>
      </c>
      <c r="I3" s="12">
        <v>136</v>
      </c>
      <c r="J3" s="12">
        <v>0</v>
      </c>
      <c r="K3" s="12">
        <v>0</v>
      </c>
      <c r="L3" s="13" t="s">
        <v>27</v>
      </c>
      <c r="M3" s="6">
        <v>4.7</v>
      </c>
      <c r="N3" s="6">
        <v>5.54</v>
      </c>
      <c r="O3" s="6">
        <v>17.8</v>
      </c>
      <c r="P3" s="6">
        <v>20.2</v>
      </c>
      <c r="Q3" s="6">
        <v>24.9</v>
      </c>
      <c r="R3" s="13"/>
      <c r="S3" s="6">
        <f>SUM(M3:Q3)</f>
        <v>73.139999999999986</v>
      </c>
      <c r="T3" s="6">
        <f>COUNTIFS($Y:$Y, Y3, $S:$S, "&gt;"&amp;S3) + 1</f>
        <v>3</v>
      </c>
      <c r="U3" s="6">
        <f>0.85*E3+T3*0.15</f>
        <v>3</v>
      </c>
      <c r="V3" s="6">
        <f>100.4-0.4*W3</f>
        <v>99.600000000000009</v>
      </c>
      <c r="W3" s="6">
        <f>COUNTIFS($Y:$Y, Y3, $U:$U, "&lt;"&amp;U3) + 1</f>
        <v>2</v>
      </c>
      <c r="X3" s="12">
        <v>89</v>
      </c>
      <c r="Y3" s="13" t="s">
        <v>155</v>
      </c>
      <c r="Z3" s="17"/>
    </row>
    <row r="4" spans="1:26">
      <c r="A4" s="5">
        <v>127</v>
      </c>
      <c r="B4" s="5">
        <v>1120233384</v>
      </c>
      <c r="C4" s="6" t="s">
        <v>157</v>
      </c>
      <c r="D4" s="6" t="str">
        <f>VLOOKUP([1]成绩单!B3,[1]Sheet1!$A:$K,4,0)</f>
        <v>精工2311</v>
      </c>
      <c r="E4" s="5">
        <v>2</v>
      </c>
      <c r="F4" s="7">
        <v>2.2471999999999999E-2</v>
      </c>
      <c r="G4" s="8">
        <v>92.417900000000003</v>
      </c>
      <c r="H4" s="5">
        <v>61</v>
      </c>
      <c r="I4" s="5">
        <v>137</v>
      </c>
      <c r="J4" s="5">
        <v>0</v>
      </c>
      <c r="K4" s="5">
        <v>0</v>
      </c>
      <c r="L4" s="6" t="s">
        <v>27</v>
      </c>
      <c r="M4" s="6">
        <v>2.8</v>
      </c>
      <c r="N4" s="6">
        <v>4.2</v>
      </c>
      <c r="O4" s="6">
        <v>3.7</v>
      </c>
      <c r="P4" s="6">
        <v>9.8000000000000007</v>
      </c>
      <c r="Q4" s="6">
        <v>11.3</v>
      </c>
      <c r="R4" s="6"/>
      <c r="S4" s="6">
        <f>SUM(M4:Q4)</f>
        <v>31.8</v>
      </c>
      <c r="T4" s="6">
        <f>COUNTIFS($Y:$Y, Y4, $S:$S, "&gt;"&amp;S4) + 1</f>
        <v>16</v>
      </c>
      <c r="U4" s="6">
        <f>0.85*E4+T4*0.15</f>
        <v>4.0999999999999996</v>
      </c>
      <c r="V4" s="6">
        <f>100.4-0.4*W4</f>
        <v>99.2</v>
      </c>
      <c r="W4" s="6">
        <f>COUNTIFS($Y:$Y, Y4, $U:$U, "&lt;"&amp;U4) + 1</f>
        <v>3</v>
      </c>
      <c r="X4" s="5">
        <v>89</v>
      </c>
      <c r="Y4" s="6" t="s">
        <v>155</v>
      </c>
      <c r="Z4" s="10"/>
    </row>
    <row r="5" spans="1:26">
      <c r="A5" s="12">
        <v>128</v>
      </c>
      <c r="B5" s="5">
        <v>1120232488</v>
      </c>
      <c r="C5" s="6" t="s">
        <v>158</v>
      </c>
      <c r="D5" s="6" t="str">
        <f>VLOOKUP([1]成绩单!B6,[1]Sheet1!$A:$K,4,0)</f>
        <v>精工2310</v>
      </c>
      <c r="E5" s="5">
        <v>5</v>
      </c>
      <c r="F5" s="7">
        <v>5.6180000000000001E-2</v>
      </c>
      <c r="G5" s="8">
        <v>91.6738</v>
      </c>
      <c r="H5" s="5">
        <v>63</v>
      </c>
      <c r="I5" s="9">
        <v>139.5</v>
      </c>
      <c r="J5" s="5">
        <v>0</v>
      </c>
      <c r="K5" s="5">
        <v>0</v>
      </c>
      <c r="L5" s="6" t="s">
        <v>27</v>
      </c>
      <c r="M5" s="6">
        <v>5.8</v>
      </c>
      <c r="N5" s="6">
        <v>10.199999999999999</v>
      </c>
      <c r="O5" s="6">
        <v>18.399999999999999</v>
      </c>
      <c r="P5" s="6">
        <v>16.8</v>
      </c>
      <c r="Q5" s="6">
        <v>26.5</v>
      </c>
      <c r="R5" s="6"/>
      <c r="S5" s="6">
        <f>SUM(M5:Q5)</f>
        <v>77.7</v>
      </c>
      <c r="T5" s="6">
        <f>COUNTIFS($Y:$Y, Y5, $S:$S, "&gt;"&amp;S5) + 1</f>
        <v>2</v>
      </c>
      <c r="U5" s="6">
        <f>0.85*E5+T5*0.15</f>
        <v>4.55</v>
      </c>
      <c r="V5" s="6">
        <f>100.4-0.4*W5</f>
        <v>98.800000000000011</v>
      </c>
      <c r="W5" s="6">
        <f>COUNTIFS($Y:$Y, Y5, $U:$U, "&lt;"&amp;U5) + 1</f>
        <v>4</v>
      </c>
      <c r="X5" s="5">
        <v>89</v>
      </c>
      <c r="Y5" s="6" t="s">
        <v>155</v>
      </c>
      <c r="Z5" s="10"/>
    </row>
    <row r="6" spans="1:26">
      <c r="A6" s="5">
        <v>129</v>
      </c>
      <c r="B6" s="5">
        <v>1120232618</v>
      </c>
      <c r="C6" s="6" t="s">
        <v>159</v>
      </c>
      <c r="D6" s="6" t="str">
        <f>VLOOKUP([1]成绩单!B7,[1]Sheet1!$A:$K,4,0)</f>
        <v>精工2312</v>
      </c>
      <c r="E6" s="5">
        <v>6</v>
      </c>
      <c r="F6" s="7">
        <v>6.7416000000000004E-2</v>
      </c>
      <c r="G6" s="8">
        <v>91.321399999999997</v>
      </c>
      <c r="H6" s="5">
        <v>62</v>
      </c>
      <c r="I6" s="5">
        <v>140</v>
      </c>
      <c r="J6" s="5">
        <v>0</v>
      </c>
      <c r="K6" s="5">
        <v>0</v>
      </c>
      <c r="L6" s="6" t="s">
        <v>27</v>
      </c>
      <c r="M6" s="6">
        <v>8.6</v>
      </c>
      <c r="N6" s="6">
        <v>7.6</v>
      </c>
      <c r="O6" s="6">
        <v>31.9</v>
      </c>
      <c r="P6" s="6">
        <v>14.7</v>
      </c>
      <c r="Q6" s="6">
        <v>22.05</v>
      </c>
      <c r="R6" s="6"/>
      <c r="S6" s="6">
        <f>SUM(M6:Q6)</f>
        <v>84.85</v>
      </c>
      <c r="T6" s="6">
        <f>COUNTIFS($Y:$Y, Y6, $S:$S, "&gt;"&amp;S6) + 1</f>
        <v>1</v>
      </c>
      <c r="U6" s="6">
        <f>0.85*E6+T6*0.15</f>
        <v>5.25</v>
      </c>
      <c r="V6" s="6">
        <f>100.4-0.4*W6</f>
        <v>98.4</v>
      </c>
      <c r="W6" s="6">
        <f>COUNTIFS($Y:$Y, Y6, $U:$U, "&lt;"&amp;U6) + 1</f>
        <v>5</v>
      </c>
      <c r="X6" s="5">
        <v>89</v>
      </c>
      <c r="Y6" s="6" t="s">
        <v>155</v>
      </c>
      <c r="Z6" s="10"/>
    </row>
    <row r="7" spans="1:26">
      <c r="A7" s="12">
        <v>130</v>
      </c>
      <c r="B7" s="5">
        <v>1120232901</v>
      </c>
      <c r="C7" s="6" t="s">
        <v>160</v>
      </c>
      <c r="D7" s="6" t="str">
        <f>VLOOKUP([1]成绩单!B5,[1]Sheet1!$A:$K,4,0)</f>
        <v>精工2311</v>
      </c>
      <c r="E7" s="5">
        <v>4</v>
      </c>
      <c r="F7" s="7">
        <v>4.4943999999999998E-2</v>
      </c>
      <c r="G7" s="8">
        <v>92.160600000000002</v>
      </c>
      <c r="H7" s="5">
        <v>61</v>
      </c>
      <c r="I7" s="9">
        <v>138.5</v>
      </c>
      <c r="J7" s="5">
        <v>0</v>
      </c>
      <c r="K7" s="5">
        <v>0</v>
      </c>
      <c r="L7" s="6" t="s">
        <v>27</v>
      </c>
      <c r="M7" s="6">
        <v>2.15</v>
      </c>
      <c r="N7" s="6">
        <v>4.7</v>
      </c>
      <c r="O7" s="6">
        <v>10.3</v>
      </c>
      <c r="P7" s="6">
        <v>4.5</v>
      </c>
      <c r="Q7" s="6">
        <v>10.4</v>
      </c>
      <c r="R7" s="6"/>
      <c r="S7" s="6">
        <f>SUM(M7:Q7)</f>
        <v>32.049999999999997</v>
      </c>
      <c r="T7" s="6">
        <f>COUNTIFS($Y:$Y, Y7, $S:$S, "&gt;"&amp;S7) + 1</f>
        <v>14</v>
      </c>
      <c r="U7" s="6">
        <f>0.85*E7+T7*0.15</f>
        <v>5.5</v>
      </c>
      <c r="V7" s="6">
        <f>100.4-0.4*W7</f>
        <v>98</v>
      </c>
      <c r="W7" s="6">
        <f>COUNTIFS($Y:$Y, Y7, $U:$U, "&lt;"&amp;U7) + 1</f>
        <v>6</v>
      </c>
      <c r="X7" s="5">
        <v>89</v>
      </c>
      <c r="Y7" s="6" t="s">
        <v>155</v>
      </c>
      <c r="Z7" s="10"/>
    </row>
    <row r="8" spans="1:26">
      <c r="A8" s="5">
        <v>131</v>
      </c>
      <c r="B8" s="5">
        <v>1120231847</v>
      </c>
      <c r="C8" s="6" t="s">
        <v>161</v>
      </c>
      <c r="D8" s="6" t="str">
        <f>VLOOKUP([1]成绩单!B9,[1]Sheet1!$A:$K,4,0)</f>
        <v>精工2311</v>
      </c>
      <c r="E8" s="5">
        <v>8</v>
      </c>
      <c r="F8" s="7">
        <v>8.9887999999999996E-2</v>
      </c>
      <c r="G8" s="8">
        <v>90.624099999999999</v>
      </c>
      <c r="H8" s="5">
        <v>63</v>
      </c>
      <c r="I8" s="5">
        <v>141</v>
      </c>
      <c r="J8" s="5">
        <v>0</v>
      </c>
      <c r="K8" s="5">
        <v>0</v>
      </c>
      <c r="L8" s="6" t="s">
        <v>27</v>
      </c>
      <c r="M8" s="6">
        <v>2.7</v>
      </c>
      <c r="N8" s="6">
        <v>6.2</v>
      </c>
      <c r="O8" s="6">
        <v>9.8000000000000007</v>
      </c>
      <c r="P8" s="6">
        <v>6.2</v>
      </c>
      <c r="Q8" s="6">
        <v>13.6</v>
      </c>
      <c r="R8" s="6"/>
      <c r="S8" s="6">
        <f>SUM(M8:Q8)</f>
        <v>38.5</v>
      </c>
      <c r="T8" s="6">
        <f>COUNTIFS($Y:$Y, Y8, $S:$S, "&gt;"&amp;S8) + 1</f>
        <v>7</v>
      </c>
      <c r="U8" s="6">
        <f>0.85*E8+T8*0.15</f>
        <v>7.85</v>
      </c>
      <c r="V8" s="6">
        <f>100.4-0.4*W8</f>
        <v>97.600000000000009</v>
      </c>
      <c r="W8" s="6">
        <f>COUNTIFS($Y:$Y, Y8, $U:$U, "&lt;"&amp;U8) + 1</f>
        <v>7</v>
      </c>
      <c r="X8" s="5">
        <v>89</v>
      </c>
      <c r="Y8" s="6" t="s">
        <v>155</v>
      </c>
      <c r="Z8" s="10"/>
    </row>
    <row r="9" spans="1:26">
      <c r="A9" s="12">
        <v>132</v>
      </c>
      <c r="B9" s="5">
        <v>1120232208</v>
      </c>
      <c r="C9" s="6" t="s">
        <v>162</v>
      </c>
      <c r="D9" s="6" t="str">
        <f>VLOOKUP([1]成绩单!B11,[1]Sheet1!$A:$K,4,0)</f>
        <v>精工2311</v>
      </c>
      <c r="E9" s="5">
        <v>10</v>
      </c>
      <c r="F9" s="7">
        <v>0.11236</v>
      </c>
      <c r="G9" s="8">
        <v>90.007000000000005</v>
      </c>
      <c r="H9" s="5">
        <v>64</v>
      </c>
      <c r="I9" s="5">
        <v>143</v>
      </c>
      <c r="J9" s="5">
        <v>0</v>
      </c>
      <c r="K9" s="5">
        <v>0</v>
      </c>
      <c r="L9" s="6" t="s">
        <v>27</v>
      </c>
      <c r="M9" s="6">
        <v>4.5</v>
      </c>
      <c r="N9" s="6">
        <v>4.5</v>
      </c>
      <c r="O9" s="6">
        <v>13.7</v>
      </c>
      <c r="P9" s="6">
        <v>7.7</v>
      </c>
      <c r="Q9" s="6">
        <v>11</v>
      </c>
      <c r="R9" s="6"/>
      <c r="S9" s="6">
        <f>SUM(M9:Q9)</f>
        <v>41.4</v>
      </c>
      <c r="T9" s="6">
        <f>COUNTIFS($Y:$Y, Y9, $S:$S, "&gt;"&amp;S9) + 1</f>
        <v>6</v>
      </c>
      <c r="U9" s="6">
        <f>0.85*E9+T9*0.15</f>
        <v>9.4</v>
      </c>
      <c r="V9" s="6">
        <f>100.4-0.4*W9</f>
        <v>97.2</v>
      </c>
      <c r="W9" s="6">
        <f>COUNTIFS($Y:$Y, Y9, $U:$U, "&lt;"&amp;U9) + 1</f>
        <v>8</v>
      </c>
      <c r="X9" s="5">
        <v>89</v>
      </c>
      <c r="Y9" s="6" t="s">
        <v>155</v>
      </c>
      <c r="Z9" s="10"/>
    </row>
    <row r="10" spans="1:26">
      <c r="A10" s="5">
        <v>133</v>
      </c>
      <c r="B10" s="5">
        <v>1120231444</v>
      </c>
      <c r="C10" s="6" t="s">
        <v>163</v>
      </c>
      <c r="D10" s="6" t="str">
        <f>VLOOKUP([1]成绩单!B8,[1]Sheet1!$A:$K,4,0)</f>
        <v>精工2313</v>
      </c>
      <c r="E10" s="5">
        <v>7</v>
      </c>
      <c r="F10" s="7">
        <v>7.8652E-2</v>
      </c>
      <c r="G10" s="8">
        <v>90.817999999999998</v>
      </c>
      <c r="H10" s="5">
        <v>60</v>
      </c>
      <c r="I10" s="5">
        <v>136</v>
      </c>
      <c r="J10" s="5">
        <v>0</v>
      </c>
      <c r="K10" s="5">
        <v>0</v>
      </c>
      <c r="L10" s="6" t="s">
        <v>27</v>
      </c>
      <c r="M10" s="6">
        <v>0.4</v>
      </c>
      <c r="N10" s="6">
        <v>1.5</v>
      </c>
      <c r="O10" s="6">
        <v>2.6</v>
      </c>
      <c r="P10" s="6">
        <v>5.4</v>
      </c>
      <c r="Q10" s="6">
        <v>12.4</v>
      </c>
      <c r="R10" s="6"/>
      <c r="S10" s="6">
        <f>SUM(M10:Q10)</f>
        <v>22.3</v>
      </c>
      <c r="T10" s="6">
        <f>COUNTIFS($Y:$Y, Y10, $S:$S, "&gt;"&amp;S10) + 1</f>
        <v>30</v>
      </c>
      <c r="U10" s="6">
        <f>0.85*E10+T10*0.15</f>
        <v>10.45</v>
      </c>
      <c r="V10" s="6">
        <f>100.4-0.4*W10</f>
        <v>96.800000000000011</v>
      </c>
      <c r="W10" s="6">
        <f>COUNTIFS($Y:$Y, Y10, $U:$U, "&lt;"&amp;U10) + 1</f>
        <v>9</v>
      </c>
      <c r="X10" s="5">
        <v>89</v>
      </c>
      <c r="Y10" s="6" t="s">
        <v>155</v>
      </c>
      <c r="Z10" s="10"/>
    </row>
    <row r="11" spans="1:26">
      <c r="A11" s="12">
        <v>134</v>
      </c>
      <c r="B11" s="5">
        <v>1120231430</v>
      </c>
      <c r="C11" s="6" t="s">
        <v>164</v>
      </c>
      <c r="D11" s="6" t="str">
        <f>VLOOKUP([1]成绩单!B12,[1]Sheet1!$A:$K,4,0)</f>
        <v>精工2312</v>
      </c>
      <c r="E11" s="5">
        <v>11</v>
      </c>
      <c r="F11" s="7">
        <v>0.123596</v>
      </c>
      <c r="G11" s="8">
        <v>89.906899999999993</v>
      </c>
      <c r="H11" s="5">
        <v>61</v>
      </c>
      <c r="I11" s="5">
        <v>137</v>
      </c>
      <c r="J11" s="5">
        <v>0</v>
      </c>
      <c r="K11" s="5">
        <v>0</v>
      </c>
      <c r="L11" s="6" t="s">
        <v>27</v>
      </c>
      <c r="M11" s="6">
        <v>5.5</v>
      </c>
      <c r="N11" s="6">
        <v>8.6999999999999993</v>
      </c>
      <c r="O11" s="6">
        <v>3.5</v>
      </c>
      <c r="P11" s="6">
        <v>7.4</v>
      </c>
      <c r="Q11" s="6">
        <v>12.3</v>
      </c>
      <c r="R11" s="6"/>
      <c r="S11" s="6">
        <f>SUM(M11:Q11)</f>
        <v>37.400000000000006</v>
      </c>
      <c r="T11" s="6">
        <f>COUNTIFS($Y:$Y, Y11, $S:$S, "&gt;"&amp;S11) + 1</f>
        <v>8</v>
      </c>
      <c r="U11" s="6">
        <f>0.85*E11+T11*0.15</f>
        <v>10.549999999999999</v>
      </c>
      <c r="V11" s="6">
        <f>100.4-0.4*W11</f>
        <v>96.4</v>
      </c>
      <c r="W11" s="6">
        <f>COUNTIFS($Y:$Y, Y11, $U:$U, "&lt;"&amp;U11) + 1</f>
        <v>10</v>
      </c>
      <c r="X11" s="5">
        <v>89</v>
      </c>
      <c r="Y11" s="6" t="s">
        <v>155</v>
      </c>
      <c r="Z11" s="10"/>
    </row>
    <row r="12" spans="1:26">
      <c r="A12" s="5">
        <v>135</v>
      </c>
      <c r="B12" s="5">
        <v>1120231772</v>
      </c>
      <c r="C12" s="6" t="s">
        <v>165</v>
      </c>
      <c r="D12" s="6" t="str">
        <f>VLOOKUP([1]成绩单!B10,[1]Sheet1!$A:$K,4,0)</f>
        <v>精工2312</v>
      </c>
      <c r="E12" s="5">
        <v>9</v>
      </c>
      <c r="F12" s="7">
        <v>0.10112400000000001</v>
      </c>
      <c r="G12" s="8">
        <v>90.519900000000007</v>
      </c>
      <c r="H12" s="5">
        <v>62</v>
      </c>
      <c r="I12" s="5">
        <v>138</v>
      </c>
      <c r="J12" s="5">
        <v>0</v>
      </c>
      <c r="K12" s="5">
        <v>0</v>
      </c>
      <c r="L12" s="6" t="s">
        <v>27</v>
      </c>
      <c r="M12" s="6">
        <v>0.9</v>
      </c>
      <c r="N12" s="6">
        <v>6.7</v>
      </c>
      <c r="O12" s="6">
        <v>5.8</v>
      </c>
      <c r="P12" s="6">
        <v>3.5</v>
      </c>
      <c r="Q12" s="6">
        <v>12.5</v>
      </c>
      <c r="R12" s="6"/>
      <c r="S12" s="6">
        <f>SUM(M12:Q12)</f>
        <v>29.4</v>
      </c>
      <c r="T12" s="6">
        <f>COUNTIFS($Y:$Y, Y12, $S:$S, "&gt;"&amp;S12) + 1</f>
        <v>21</v>
      </c>
      <c r="U12" s="6">
        <f>0.85*E12+T12*0.15</f>
        <v>10.799999999999999</v>
      </c>
      <c r="V12" s="6">
        <f>100.4-0.4*W12</f>
        <v>96</v>
      </c>
      <c r="W12" s="6">
        <f>COUNTIFS($Y:$Y, Y12, $U:$U, "&lt;"&amp;U12) + 1</f>
        <v>11</v>
      </c>
      <c r="X12" s="5">
        <v>89</v>
      </c>
      <c r="Y12" s="6" t="s">
        <v>155</v>
      </c>
      <c r="Z12" s="10"/>
    </row>
    <row r="13" spans="1:26">
      <c r="A13" s="12">
        <v>136</v>
      </c>
      <c r="B13" s="5">
        <v>1120231023</v>
      </c>
      <c r="C13" s="6" t="s">
        <v>166</v>
      </c>
      <c r="D13" s="6" t="str">
        <f>VLOOKUP([1]成绩单!B14,[1]Sheet1!$A:$K,4,0)</f>
        <v>精工2313</v>
      </c>
      <c r="E13" s="5">
        <v>13</v>
      </c>
      <c r="F13" s="7">
        <v>0.146067</v>
      </c>
      <c r="G13" s="8">
        <v>89.405100000000004</v>
      </c>
      <c r="H13" s="5">
        <v>61</v>
      </c>
      <c r="I13" s="5">
        <v>137</v>
      </c>
      <c r="J13" s="5">
        <v>0</v>
      </c>
      <c r="K13" s="5">
        <v>0</v>
      </c>
      <c r="L13" s="6" t="s">
        <v>27</v>
      </c>
      <c r="M13" s="6">
        <v>2.5</v>
      </c>
      <c r="N13" s="6">
        <v>4.3</v>
      </c>
      <c r="O13" s="6">
        <v>4.4000000000000004</v>
      </c>
      <c r="P13" s="6">
        <v>4</v>
      </c>
      <c r="Q13" s="6">
        <v>7.3</v>
      </c>
      <c r="R13" s="6"/>
      <c r="S13" s="6">
        <f>SUM(M13:Q13)</f>
        <v>22.5</v>
      </c>
      <c r="T13" s="6">
        <f>COUNTIFS($Y:$Y, Y13, $S:$S, "&gt;"&amp;S13) + 1</f>
        <v>29</v>
      </c>
      <c r="U13" s="6">
        <f>0.85*E13+T13*0.15</f>
        <v>15.399999999999999</v>
      </c>
      <c r="V13" s="6">
        <f>100.4-0.4*W13</f>
        <v>95.600000000000009</v>
      </c>
      <c r="W13" s="6">
        <f>COUNTIFS($Y:$Y, Y13, $U:$U, "&lt;"&amp;U13) + 1</f>
        <v>12</v>
      </c>
      <c r="X13" s="5">
        <v>89</v>
      </c>
      <c r="Y13" s="6" t="s">
        <v>155</v>
      </c>
      <c r="Z13" s="10"/>
    </row>
    <row r="14" spans="1:26">
      <c r="A14" s="5">
        <v>137</v>
      </c>
      <c r="B14" s="5">
        <v>1120230335</v>
      </c>
      <c r="C14" s="6" t="s">
        <v>167</v>
      </c>
      <c r="D14" s="6" t="str">
        <f>VLOOKUP([1]成绩单!B13,[1]Sheet1!$A:$K,4,0)</f>
        <v>精工2313</v>
      </c>
      <c r="E14" s="5">
        <v>12</v>
      </c>
      <c r="F14" s="7">
        <v>0.13483100000000001</v>
      </c>
      <c r="G14" s="8">
        <v>89.476100000000002</v>
      </c>
      <c r="H14" s="5">
        <v>61</v>
      </c>
      <c r="I14" s="5">
        <v>136</v>
      </c>
      <c r="J14" s="5">
        <v>0</v>
      </c>
      <c r="K14" s="5">
        <v>0</v>
      </c>
      <c r="L14" s="6" t="s">
        <v>27</v>
      </c>
      <c r="M14" s="6">
        <v>2</v>
      </c>
      <c r="N14" s="6">
        <v>3.2</v>
      </c>
      <c r="O14" s="6">
        <v>4.8</v>
      </c>
      <c r="P14" s="6">
        <v>8</v>
      </c>
      <c r="Q14" s="6">
        <v>2.9</v>
      </c>
      <c r="R14" s="6"/>
      <c r="S14" s="6">
        <f>SUM(M14:Q14)</f>
        <v>20.9</v>
      </c>
      <c r="T14" s="6">
        <f>COUNTIFS($Y:$Y, Y14, $S:$S, "&gt;"&amp;S14) + 1</f>
        <v>35</v>
      </c>
      <c r="U14" s="6">
        <f>0.85*E14+T14*0.15</f>
        <v>15.45</v>
      </c>
      <c r="V14" s="6">
        <f>100.4-0.4*W14</f>
        <v>95.2</v>
      </c>
      <c r="W14" s="6">
        <f>COUNTIFS($Y:$Y, Y14, $U:$U, "&lt;"&amp;U14) + 1</f>
        <v>13</v>
      </c>
      <c r="X14" s="5">
        <v>89</v>
      </c>
      <c r="Y14" s="6" t="s">
        <v>155</v>
      </c>
      <c r="Z14" s="10"/>
    </row>
    <row r="15" spans="1:26">
      <c r="A15" s="12">
        <v>138</v>
      </c>
      <c r="B15" s="5">
        <v>1120232611</v>
      </c>
      <c r="C15" s="6" t="s">
        <v>168</v>
      </c>
      <c r="D15" s="6" t="str">
        <f>VLOOKUP([1]成绩单!B16,[1]Sheet1!$A:$K,4,0)</f>
        <v>精工2310</v>
      </c>
      <c r="E15" s="5">
        <v>15</v>
      </c>
      <c r="F15" s="7">
        <v>0.16853899999999999</v>
      </c>
      <c r="G15" s="8">
        <v>88.610699999999994</v>
      </c>
      <c r="H15" s="5">
        <v>65</v>
      </c>
      <c r="I15" s="9">
        <v>144.5</v>
      </c>
      <c r="J15" s="5">
        <v>0</v>
      </c>
      <c r="K15" s="5">
        <v>0</v>
      </c>
      <c r="L15" s="6" t="s">
        <v>27</v>
      </c>
      <c r="M15" s="6">
        <v>0.2</v>
      </c>
      <c r="N15" s="6">
        <v>0.95</v>
      </c>
      <c r="O15" s="6">
        <v>10</v>
      </c>
      <c r="P15" s="6">
        <v>6.75</v>
      </c>
      <c r="Q15" s="6">
        <v>5.7</v>
      </c>
      <c r="R15" s="6"/>
      <c r="S15" s="6">
        <f>SUM(M15:Q15)</f>
        <v>23.599999999999998</v>
      </c>
      <c r="T15" s="6">
        <f>COUNTIFS($Y:$Y, Y15, $S:$S, "&gt;"&amp;S15) + 1</f>
        <v>27</v>
      </c>
      <c r="U15" s="6">
        <f>0.85*E15+T15*0.15</f>
        <v>16.8</v>
      </c>
      <c r="V15" s="6">
        <f>100.4-0.4*W15</f>
        <v>94.800000000000011</v>
      </c>
      <c r="W15" s="6">
        <f>COUNTIFS($Y:$Y, Y15, $U:$U, "&lt;"&amp;U15) + 1</f>
        <v>14</v>
      </c>
      <c r="X15" s="5">
        <v>89</v>
      </c>
      <c r="Y15" s="6" t="s">
        <v>155</v>
      </c>
      <c r="Z15" s="10"/>
    </row>
    <row r="16" spans="1:26">
      <c r="A16" s="5">
        <v>139</v>
      </c>
      <c r="B16" s="5">
        <v>1120230324</v>
      </c>
      <c r="C16" s="6" t="s">
        <v>169</v>
      </c>
      <c r="D16" s="6" t="str">
        <f>VLOOKUP([1]成绩单!B17,[1]Sheet1!$A:$K,4,0)</f>
        <v>精工2313</v>
      </c>
      <c r="E16" s="5">
        <v>16</v>
      </c>
      <c r="F16" s="7">
        <v>0.17977499999999999</v>
      </c>
      <c r="G16" s="8">
        <v>88.5702</v>
      </c>
      <c r="H16" s="5">
        <v>64</v>
      </c>
      <c r="I16" s="9">
        <v>142.5</v>
      </c>
      <c r="J16" s="5">
        <v>0</v>
      </c>
      <c r="K16" s="5">
        <v>0</v>
      </c>
      <c r="L16" s="6" t="s">
        <v>27</v>
      </c>
      <c r="M16" s="6">
        <v>2</v>
      </c>
      <c r="N16" s="6">
        <v>4.9000000000000004</v>
      </c>
      <c r="O16" s="6">
        <v>3.3</v>
      </c>
      <c r="P16" s="6">
        <v>9.9</v>
      </c>
      <c r="Q16" s="6">
        <v>6.4</v>
      </c>
      <c r="R16" s="6"/>
      <c r="S16" s="6">
        <f>SUM(M16:Q16)</f>
        <v>26.5</v>
      </c>
      <c r="T16" s="6">
        <f>COUNTIFS($Y:$Y, Y16, $S:$S, "&gt;"&amp;S16) + 1</f>
        <v>24</v>
      </c>
      <c r="U16" s="6">
        <f>0.85*E16+T16*0.15</f>
        <v>17.2</v>
      </c>
      <c r="V16" s="6">
        <f>100.4-0.4*W16</f>
        <v>94.4</v>
      </c>
      <c r="W16" s="6">
        <f>COUNTIFS($Y:$Y, Y16, $U:$U, "&lt;"&amp;U16) + 1</f>
        <v>15</v>
      </c>
      <c r="X16" s="5">
        <v>89</v>
      </c>
      <c r="Y16" s="6" t="s">
        <v>155</v>
      </c>
      <c r="Z16" s="10"/>
    </row>
    <row r="17" spans="1:26">
      <c r="A17" s="12">
        <v>140</v>
      </c>
      <c r="B17" s="5">
        <v>1120232887</v>
      </c>
      <c r="C17" s="6" t="s">
        <v>170</v>
      </c>
      <c r="D17" s="6" t="str">
        <f>VLOOKUP([1]成绩单!B15,[1]Sheet1!$A:$K,4,0)</f>
        <v>精工2311</v>
      </c>
      <c r="E17" s="5">
        <v>14</v>
      </c>
      <c r="F17" s="7">
        <v>0.157303</v>
      </c>
      <c r="G17" s="8">
        <v>89.297799999999995</v>
      </c>
      <c r="H17" s="5">
        <v>60</v>
      </c>
      <c r="I17" s="5">
        <v>136</v>
      </c>
      <c r="J17" s="5">
        <v>0</v>
      </c>
      <c r="K17" s="5">
        <v>0</v>
      </c>
      <c r="L17" s="6" t="s">
        <v>27</v>
      </c>
      <c r="M17" s="6">
        <v>1</v>
      </c>
      <c r="N17" s="6">
        <v>1.5</v>
      </c>
      <c r="O17" s="6">
        <v>2.8250000000000002</v>
      </c>
      <c r="P17" s="6">
        <v>5.8</v>
      </c>
      <c r="Q17" s="6">
        <v>8.5500000000000007</v>
      </c>
      <c r="R17" s="6"/>
      <c r="S17" s="6">
        <f>SUM(M17:Q17)</f>
        <v>19.675000000000001</v>
      </c>
      <c r="T17" s="6">
        <f>COUNTIFS($Y:$Y, Y17, $S:$S, "&gt;"&amp;S17) + 1</f>
        <v>36</v>
      </c>
      <c r="U17" s="6">
        <f>0.85*E17+T17*0.15</f>
        <v>17.3</v>
      </c>
      <c r="V17" s="6">
        <f>100.4-0.4*W17</f>
        <v>94</v>
      </c>
      <c r="W17" s="6">
        <f>COUNTIFS($Y:$Y, Y17, $U:$U, "&lt;"&amp;U17) + 1</f>
        <v>16</v>
      </c>
      <c r="X17" s="5">
        <v>89</v>
      </c>
      <c r="Y17" s="6" t="s">
        <v>155</v>
      </c>
      <c r="Z17" s="10"/>
    </row>
    <row r="18" spans="1:26">
      <c r="A18" s="5">
        <v>141</v>
      </c>
      <c r="B18" s="5">
        <v>1120230374</v>
      </c>
      <c r="C18" s="6" t="s">
        <v>171</v>
      </c>
      <c r="D18" s="6" t="str">
        <f>VLOOKUP([1]成绩单!B19,[1]Sheet1!$A:$K,4,0)</f>
        <v>精工2311</v>
      </c>
      <c r="E18" s="5">
        <v>18</v>
      </c>
      <c r="F18" s="7">
        <v>0.20224700000000001</v>
      </c>
      <c r="G18" s="8">
        <v>88.1203</v>
      </c>
      <c r="H18" s="5">
        <v>66</v>
      </c>
      <c r="I18" s="9">
        <v>147.5</v>
      </c>
      <c r="J18" s="5">
        <v>0</v>
      </c>
      <c r="K18" s="5">
        <v>0</v>
      </c>
      <c r="L18" s="6" t="s">
        <v>27</v>
      </c>
      <c r="M18" s="6">
        <v>1.9</v>
      </c>
      <c r="N18" s="6">
        <v>1</v>
      </c>
      <c r="O18" s="6">
        <v>7.3</v>
      </c>
      <c r="P18" s="6">
        <v>5.3</v>
      </c>
      <c r="Q18" s="6">
        <v>16.399999999999999</v>
      </c>
      <c r="R18" s="6"/>
      <c r="S18" s="6">
        <f>SUM(M18:Q18)</f>
        <v>31.9</v>
      </c>
      <c r="T18" s="6">
        <f>COUNTIFS($Y:$Y, Y18, $S:$S, "&gt;"&amp;S18) + 1</f>
        <v>15</v>
      </c>
      <c r="U18" s="6">
        <f>0.85*E18+T18*0.15</f>
        <v>17.549999999999997</v>
      </c>
      <c r="V18" s="6">
        <f>100.4-0.4*W18</f>
        <v>93.600000000000009</v>
      </c>
      <c r="W18" s="6">
        <f>COUNTIFS($Y:$Y, Y18, $U:$U, "&lt;"&amp;U18) + 1</f>
        <v>17</v>
      </c>
      <c r="X18" s="5">
        <v>89</v>
      </c>
      <c r="Y18" s="6" t="s">
        <v>155</v>
      </c>
      <c r="Z18" s="10"/>
    </row>
    <row r="19" spans="1:26">
      <c r="A19" s="12">
        <v>142</v>
      </c>
      <c r="B19" s="5">
        <v>1120231401</v>
      </c>
      <c r="C19" s="6" t="s">
        <v>172</v>
      </c>
      <c r="D19" s="6" t="str">
        <f>VLOOKUP([1]成绩单!B20,[1]Sheet1!$A:$K,4,0)</f>
        <v>精工2312</v>
      </c>
      <c r="E19" s="5">
        <v>19</v>
      </c>
      <c r="F19" s="7">
        <v>0.21348300000000001</v>
      </c>
      <c r="G19" s="8">
        <v>88.086399999999998</v>
      </c>
      <c r="H19" s="5">
        <v>61</v>
      </c>
      <c r="I19" s="5">
        <v>136</v>
      </c>
      <c r="J19" s="5">
        <v>0</v>
      </c>
      <c r="K19" s="5">
        <v>0</v>
      </c>
      <c r="L19" s="6" t="s">
        <v>27</v>
      </c>
      <c r="M19" s="6">
        <v>1.7</v>
      </c>
      <c r="N19" s="6">
        <v>2.94</v>
      </c>
      <c r="O19" s="6">
        <v>9</v>
      </c>
      <c r="P19" s="6">
        <v>5.5</v>
      </c>
      <c r="Q19" s="6">
        <v>11</v>
      </c>
      <c r="R19" s="6"/>
      <c r="S19" s="6">
        <f>SUM(M19:Q19)</f>
        <v>30.14</v>
      </c>
      <c r="T19" s="6">
        <f>COUNTIFS($Y:$Y, Y19, $S:$S, "&gt;"&amp;S19) + 1</f>
        <v>17</v>
      </c>
      <c r="U19" s="6">
        <f>0.85*E19+T19*0.15</f>
        <v>18.7</v>
      </c>
      <c r="V19" s="6">
        <f>100.4-0.4*W19</f>
        <v>93.2</v>
      </c>
      <c r="W19" s="6">
        <f>COUNTIFS($Y:$Y, Y19, $U:$U, "&lt;"&amp;U19) + 1</f>
        <v>18</v>
      </c>
      <c r="X19" s="5">
        <v>89</v>
      </c>
      <c r="Y19" s="6" t="s">
        <v>155</v>
      </c>
      <c r="Z19" s="10"/>
    </row>
    <row r="20" spans="1:26">
      <c r="A20" s="5">
        <v>143</v>
      </c>
      <c r="B20" s="5">
        <v>1120233001</v>
      </c>
      <c r="C20" s="6" t="s">
        <v>173</v>
      </c>
      <c r="D20" s="6" t="str">
        <f>VLOOKUP([1]成绩单!B21,[1]Sheet1!$A:$K,4,0)</f>
        <v>精工2313</v>
      </c>
      <c r="E20" s="5">
        <v>20</v>
      </c>
      <c r="F20" s="7">
        <v>0.224719</v>
      </c>
      <c r="G20" s="8">
        <v>88.071700000000007</v>
      </c>
      <c r="H20" s="5">
        <v>60</v>
      </c>
      <c r="I20" s="5">
        <v>136</v>
      </c>
      <c r="J20" s="5">
        <v>0</v>
      </c>
      <c r="K20" s="5">
        <v>0</v>
      </c>
      <c r="L20" s="6" t="s">
        <v>27</v>
      </c>
      <c r="M20" s="6">
        <v>3.2</v>
      </c>
      <c r="N20" s="6">
        <v>2.2000000000000002</v>
      </c>
      <c r="O20" s="6">
        <v>7</v>
      </c>
      <c r="P20" s="6">
        <v>10.7</v>
      </c>
      <c r="Q20" s="6">
        <v>10.34</v>
      </c>
      <c r="R20" s="6"/>
      <c r="S20" s="6">
        <f>SUM(M20:Q20)</f>
        <v>33.44</v>
      </c>
      <c r="T20" s="6">
        <f>COUNTIFS($Y:$Y, Y20, $S:$S, "&gt;"&amp;S20) + 1</f>
        <v>12</v>
      </c>
      <c r="U20" s="6">
        <f>0.85*E20+T20*0.15</f>
        <v>18.8</v>
      </c>
      <c r="V20" s="6">
        <f>100.4-0.4*W20</f>
        <v>92.800000000000011</v>
      </c>
      <c r="W20" s="6">
        <f>COUNTIFS($Y:$Y, Y20, $U:$U, "&lt;"&amp;U20) + 1</f>
        <v>19</v>
      </c>
      <c r="X20" s="5">
        <v>89</v>
      </c>
      <c r="Y20" s="6" t="s">
        <v>155</v>
      </c>
      <c r="Z20" s="10"/>
    </row>
    <row r="21" spans="1:26">
      <c r="A21" s="12">
        <v>144</v>
      </c>
      <c r="B21" s="5">
        <v>1120231281</v>
      </c>
      <c r="C21" s="6" t="s">
        <v>174</v>
      </c>
      <c r="D21" s="6" t="str">
        <f>VLOOKUP([1]成绩单!B22,[1]Sheet1!$A:$K,4,0)</f>
        <v>精工2310</v>
      </c>
      <c r="E21" s="5">
        <v>21</v>
      </c>
      <c r="F21" s="7">
        <v>0.235955</v>
      </c>
      <c r="G21" s="8">
        <v>87.945599999999999</v>
      </c>
      <c r="H21" s="5">
        <v>66</v>
      </c>
      <c r="I21" s="5">
        <v>147</v>
      </c>
      <c r="J21" s="5">
        <v>0</v>
      </c>
      <c r="K21" s="5">
        <v>0</v>
      </c>
      <c r="L21" s="6" t="s">
        <v>27</v>
      </c>
      <c r="M21" s="6">
        <v>1.5</v>
      </c>
      <c r="N21" s="6">
        <v>2</v>
      </c>
      <c r="O21" s="6">
        <v>4</v>
      </c>
      <c r="P21" s="6">
        <v>9</v>
      </c>
      <c r="Q21" s="6">
        <v>17.2</v>
      </c>
      <c r="R21" s="6"/>
      <c r="S21" s="6">
        <f>SUM(M21:Q21)</f>
        <v>33.700000000000003</v>
      </c>
      <c r="T21" s="6">
        <f>COUNTIFS($Y:$Y, Y21, $S:$S, "&gt;"&amp;S21) + 1</f>
        <v>11</v>
      </c>
      <c r="U21" s="6">
        <f>0.85*E21+T21*0.15</f>
        <v>19.499999999999996</v>
      </c>
      <c r="V21" s="6">
        <f>100.4-0.4*W21</f>
        <v>92.4</v>
      </c>
      <c r="W21" s="6">
        <f>COUNTIFS($Y:$Y, Y21, $U:$U, "&lt;"&amp;U21) + 1</f>
        <v>20</v>
      </c>
      <c r="X21" s="5">
        <v>89</v>
      </c>
      <c r="Y21" s="6" t="s">
        <v>155</v>
      </c>
      <c r="Z21" s="10"/>
    </row>
    <row r="22" spans="1:26">
      <c r="A22" s="5">
        <v>145</v>
      </c>
      <c r="B22" s="5">
        <v>1120231007</v>
      </c>
      <c r="C22" s="6" t="s">
        <v>175</v>
      </c>
      <c r="D22" s="6" t="str">
        <f>VLOOKUP([1]成绩单!B18,[1]Sheet1!$A:$K,4,0)</f>
        <v>精工2311</v>
      </c>
      <c r="E22" s="5">
        <v>17</v>
      </c>
      <c r="F22" s="7">
        <v>0.19101099999999999</v>
      </c>
      <c r="G22" s="8">
        <v>88.169700000000006</v>
      </c>
      <c r="H22" s="5">
        <v>61</v>
      </c>
      <c r="I22" s="5">
        <v>137</v>
      </c>
      <c r="J22" s="5">
        <v>0</v>
      </c>
      <c r="K22" s="5">
        <v>0</v>
      </c>
      <c r="L22" s="6" t="s">
        <v>27</v>
      </c>
      <c r="M22" s="6">
        <v>2.75</v>
      </c>
      <c r="N22" s="6">
        <v>3.15</v>
      </c>
      <c r="O22" s="6">
        <v>5.2</v>
      </c>
      <c r="P22" s="6">
        <v>1.7</v>
      </c>
      <c r="Q22" s="6">
        <v>5.25</v>
      </c>
      <c r="R22" s="6"/>
      <c r="S22" s="6">
        <f>SUM(M22:Q22)</f>
        <v>18.05</v>
      </c>
      <c r="T22" s="6">
        <f>COUNTIFS($Y:$Y, Y22, $S:$S, "&gt;"&amp;S22) + 1</f>
        <v>39</v>
      </c>
      <c r="U22" s="6">
        <f>0.85*E22+T22*0.15</f>
        <v>20.299999999999997</v>
      </c>
      <c r="V22" s="6">
        <f>100.4-0.4*W22</f>
        <v>92</v>
      </c>
      <c r="W22" s="6">
        <f>COUNTIFS($Y:$Y, Y22, $U:$U, "&lt;"&amp;U22) + 1</f>
        <v>21</v>
      </c>
      <c r="X22" s="5">
        <v>89</v>
      </c>
      <c r="Y22" s="6" t="s">
        <v>155</v>
      </c>
      <c r="Z22" s="10"/>
    </row>
    <row r="23" spans="1:26">
      <c r="A23" s="12">
        <v>146</v>
      </c>
      <c r="B23" s="5">
        <v>1120231262</v>
      </c>
      <c r="C23" s="6" t="s">
        <v>176</v>
      </c>
      <c r="D23" s="6" t="str">
        <f>VLOOKUP([1]成绩单!B24,[1]Sheet1!$A:$K,4,0)</f>
        <v>精工2312</v>
      </c>
      <c r="E23" s="5">
        <v>23</v>
      </c>
      <c r="F23" s="7">
        <v>0.25842700000000002</v>
      </c>
      <c r="G23" s="8">
        <v>87.580399999999997</v>
      </c>
      <c r="H23" s="5">
        <v>64</v>
      </c>
      <c r="I23" s="5">
        <v>143</v>
      </c>
      <c r="J23" s="5">
        <v>0</v>
      </c>
      <c r="K23" s="5">
        <v>0</v>
      </c>
      <c r="L23" s="6" t="s">
        <v>27</v>
      </c>
      <c r="M23" s="6">
        <v>5.3</v>
      </c>
      <c r="N23" s="6">
        <v>5.4</v>
      </c>
      <c r="O23" s="6">
        <v>10.1</v>
      </c>
      <c r="P23" s="6">
        <v>8.6999999999999993</v>
      </c>
      <c r="Q23" s="6">
        <v>12.9</v>
      </c>
      <c r="R23" s="6"/>
      <c r="S23" s="6">
        <f>SUM(M23:Q23)</f>
        <v>42.4</v>
      </c>
      <c r="T23" s="6">
        <f>COUNTIFS($Y:$Y, Y23, $S:$S, "&gt;"&amp;S23) + 1</f>
        <v>5</v>
      </c>
      <c r="U23" s="6">
        <f>0.85*E23+T23*0.15</f>
        <v>20.3</v>
      </c>
      <c r="V23" s="6">
        <f>100.4-0.4*W23</f>
        <v>92</v>
      </c>
      <c r="W23" s="6">
        <f>COUNTIFS($Y:$Y, Y23, $U:$U, "&lt;"&amp;U23) + 1</f>
        <v>21</v>
      </c>
      <c r="X23" s="5">
        <v>89</v>
      </c>
      <c r="Y23" s="6" t="s">
        <v>155</v>
      </c>
      <c r="Z23" s="10"/>
    </row>
    <row r="24" spans="1:26">
      <c r="A24" s="5">
        <v>147</v>
      </c>
      <c r="B24" s="5">
        <v>1120231008</v>
      </c>
      <c r="C24" s="6" t="s">
        <v>177</v>
      </c>
      <c r="D24" s="6" t="str">
        <f>VLOOKUP([1]成绩单!B25,[1]Sheet1!$A:$K,4,0)</f>
        <v>精工2312</v>
      </c>
      <c r="E24" s="5">
        <v>24</v>
      </c>
      <c r="F24" s="7">
        <v>0.26966299999999999</v>
      </c>
      <c r="G24" s="8">
        <v>87.563900000000004</v>
      </c>
      <c r="H24" s="5">
        <v>61</v>
      </c>
      <c r="I24" s="5">
        <v>137</v>
      </c>
      <c r="J24" s="5">
        <v>0</v>
      </c>
      <c r="K24" s="5">
        <v>0</v>
      </c>
      <c r="L24" s="6" t="s">
        <v>27</v>
      </c>
      <c r="M24" s="6">
        <v>4.1500000000000004</v>
      </c>
      <c r="N24" s="6">
        <v>9</v>
      </c>
      <c r="O24" s="6">
        <v>6</v>
      </c>
      <c r="P24" s="6">
        <v>4.2</v>
      </c>
      <c r="Q24" s="6">
        <v>13.5</v>
      </c>
      <c r="R24" s="6"/>
      <c r="S24" s="6">
        <f>SUM(M24:Q24)</f>
        <v>36.849999999999994</v>
      </c>
      <c r="T24" s="6">
        <f>COUNTIFS($Y:$Y, Y24, $S:$S, "&gt;"&amp;S24) + 1</f>
        <v>9</v>
      </c>
      <c r="U24" s="6">
        <f>0.85*E24+T24*0.15</f>
        <v>21.75</v>
      </c>
      <c r="V24" s="6">
        <f>100.4-0.4*W24</f>
        <v>91.2</v>
      </c>
      <c r="W24" s="6">
        <f>COUNTIFS($Y:$Y, Y24, $U:$U, "&lt;"&amp;U24) + 1</f>
        <v>23</v>
      </c>
      <c r="X24" s="5">
        <v>89</v>
      </c>
      <c r="Y24" s="6" t="s">
        <v>155</v>
      </c>
      <c r="Z24" s="10"/>
    </row>
    <row r="25" spans="1:26">
      <c r="A25" s="12">
        <v>148</v>
      </c>
      <c r="B25" s="5">
        <v>1120231265</v>
      </c>
      <c r="C25" s="6" t="s">
        <v>178</v>
      </c>
      <c r="D25" s="6" t="str">
        <f>VLOOKUP([1]成绩单!B28,[1]Sheet1!$A:$K,4,0)</f>
        <v>精工2313</v>
      </c>
      <c r="E25" s="5">
        <v>27</v>
      </c>
      <c r="F25" s="7">
        <v>0.303371</v>
      </c>
      <c r="G25" s="8">
        <v>87.386899999999997</v>
      </c>
      <c r="H25" s="5">
        <v>62</v>
      </c>
      <c r="I25" s="5">
        <v>137</v>
      </c>
      <c r="J25" s="5">
        <v>0</v>
      </c>
      <c r="K25" s="5">
        <v>0</v>
      </c>
      <c r="L25" s="6" t="s">
        <v>27</v>
      </c>
      <c r="M25" s="6">
        <v>2.2999999999999998</v>
      </c>
      <c r="N25" s="6">
        <v>4.2</v>
      </c>
      <c r="O25" s="6">
        <v>7.7</v>
      </c>
      <c r="P25" s="6">
        <v>6.5</v>
      </c>
      <c r="Q25" s="6">
        <v>8.9</v>
      </c>
      <c r="R25" s="6"/>
      <c r="S25" s="6">
        <f>SUM(M25:Q25)</f>
        <v>29.6</v>
      </c>
      <c r="T25" s="6">
        <f>COUNTIFS($Y:$Y, Y25, $S:$S, "&gt;"&amp;S25) + 1</f>
        <v>20</v>
      </c>
      <c r="U25" s="6">
        <f>0.85*E25+T25*0.15</f>
        <v>25.95</v>
      </c>
      <c r="V25" s="6">
        <f>100.4-0.4*W25</f>
        <v>90.800000000000011</v>
      </c>
      <c r="W25" s="6">
        <f>COUNTIFS($Y:$Y, Y25, $U:$U, "&lt;"&amp;U25) + 1</f>
        <v>24</v>
      </c>
      <c r="X25" s="5">
        <v>89</v>
      </c>
      <c r="Y25" s="6" t="s">
        <v>155</v>
      </c>
      <c r="Z25" s="10"/>
    </row>
    <row r="26" spans="1:26">
      <c r="A26" s="5">
        <v>149</v>
      </c>
      <c r="B26" s="5">
        <v>1120230990</v>
      </c>
      <c r="C26" s="6" t="s">
        <v>179</v>
      </c>
      <c r="D26" s="6" t="str">
        <f>VLOOKUP([1]成绩单!B26,[1]Sheet1!$A:$K,4,0)</f>
        <v>精工2311</v>
      </c>
      <c r="E26" s="5">
        <v>25</v>
      </c>
      <c r="F26" s="7">
        <v>0.28089900000000001</v>
      </c>
      <c r="G26" s="8">
        <v>87.547499999999999</v>
      </c>
      <c r="H26" s="5">
        <v>63</v>
      </c>
      <c r="I26" s="5">
        <v>142</v>
      </c>
      <c r="J26" s="5">
        <v>0</v>
      </c>
      <c r="K26" s="5">
        <v>0</v>
      </c>
      <c r="L26" s="6" t="s">
        <v>27</v>
      </c>
      <c r="M26" s="6">
        <v>3.6</v>
      </c>
      <c r="N26" s="6">
        <v>1.5</v>
      </c>
      <c r="O26" s="6">
        <v>2</v>
      </c>
      <c r="P26" s="6">
        <v>4.5999999999999996</v>
      </c>
      <c r="Q26" s="6">
        <v>6.8</v>
      </c>
      <c r="R26" s="6"/>
      <c r="S26" s="6">
        <f>SUM(M26:Q26)</f>
        <v>18.5</v>
      </c>
      <c r="T26" s="6">
        <f>COUNTIFS($Y:$Y, Y26, $S:$S, "&gt;"&amp;S26) + 1</f>
        <v>37</v>
      </c>
      <c r="U26" s="6">
        <f>0.85*E26+T26*0.15</f>
        <v>26.8</v>
      </c>
      <c r="V26" s="6">
        <f>100.4-0.4*W26</f>
        <v>90.4</v>
      </c>
      <c r="W26" s="6">
        <f>COUNTIFS($Y:$Y, Y26, $U:$U, "&lt;"&amp;U26) + 1</f>
        <v>25</v>
      </c>
      <c r="X26" s="5">
        <v>89</v>
      </c>
      <c r="Y26" s="6" t="s">
        <v>155</v>
      </c>
      <c r="Z26" s="10"/>
    </row>
    <row r="27" spans="1:26">
      <c r="A27" s="12">
        <v>150</v>
      </c>
      <c r="B27" s="5">
        <v>1120231746</v>
      </c>
      <c r="C27" s="6" t="s">
        <v>180</v>
      </c>
      <c r="D27" s="6" t="str">
        <f>VLOOKUP([1]成绩单!B23,[1]Sheet1!$A:$K,4,0)</f>
        <v>精工2312</v>
      </c>
      <c r="E27" s="5">
        <v>22</v>
      </c>
      <c r="F27" s="7">
        <v>0.24719099999999999</v>
      </c>
      <c r="G27" s="8">
        <v>87.801000000000002</v>
      </c>
      <c r="H27" s="5">
        <v>68</v>
      </c>
      <c r="I27" s="5">
        <v>147</v>
      </c>
      <c r="J27" s="5">
        <v>0</v>
      </c>
      <c r="K27" s="5">
        <v>0</v>
      </c>
      <c r="L27" s="6" t="s">
        <v>27</v>
      </c>
      <c r="M27" s="6">
        <v>2.1</v>
      </c>
      <c r="N27" s="6">
        <v>2.2000000000000002</v>
      </c>
      <c r="O27" s="6">
        <v>1.3</v>
      </c>
      <c r="P27" s="6">
        <v>2.5</v>
      </c>
      <c r="Q27" s="6">
        <v>1.5</v>
      </c>
      <c r="R27" s="6"/>
      <c r="S27" s="6">
        <f>SUM(M27:Q27)</f>
        <v>9.6000000000000014</v>
      </c>
      <c r="T27" s="6">
        <f>COUNTIFS($Y:$Y, Y27, $S:$S, "&gt;"&amp;S27) + 1</f>
        <v>55</v>
      </c>
      <c r="U27" s="6">
        <f>0.85*E27+T27*0.15</f>
        <v>26.95</v>
      </c>
      <c r="V27" s="6">
        <f>100.4-0.4*W27</f>
        <v>90</v>
      </c>
      <c r="W27" s="6">
        <f>COUNTIFS($Y:$Y, Y27, $U:$U, "&lt;"&amp;U27) + 1</f>
        <v>26</v>
      </c>
      <c r="X27" s="5">
        <v>89</v>
      </c>
      <c r="Y27" s="6" t="s">
        <v>155</v>
      </c>
      <c r="Z27" s="10"/>
    </row>
    <row r="28" spans="1:26">
      <c r="A28" s="5">
        <v>151</v>
      </c>
      <c r="B28" s="5">
        <v>1120232468</v>
      </c>
      <c r="C28" s="6" t="s">
        <v>181</v>
      </c>
      <c r="D28" s="6" t="str">
        <f>VLOOKUP([1]成绩单!B29,[1]Sheet1!$A:$K,4,0)</f>
        <v>精工2312</v>
      </c>
      <c r="E28" s="5">
        <v>28</v>
      </c>
      <c r="F28" s="7">
        <v>0.31460700000000003</v>
      </c>
      <c r="G28" s="8">
        <v>87.341899999999995</v>
      </c>
      <c r="H28" s="5">
        <v>60</v>
      </c>
      <c r="I28" s="5">
        <v>136</v>
      </c>
      <c r="J28" s="5">
        <v>0</v>
      </c>
      <c r="K28" s="5">
        <v>0</v>
      </c>
      <c r="L28" s="6" t="s">
        <v>27</v>
      </c>
      <c r="M28" s="6">
        <v>4</v>
      </c>
      <c r="N28" s="6">
        <v>7</v>
      </c>
      <c r="O28" s="6">
        <v>3.8</v>
      </c>
      <c r="P28" s="6">
        <v>6.7</v>
      </c>
      <c r="Q28" s="6">
        <v>4.2</v>
      </c>
      <c r="R28" s="6"/>
      <c r="S28" s="6">
        <f>SUM(M28:Q28)</f>
        <v>25.7</v>
      </c>
      <c r="T28" s="6">
        <f>COUNTIFS($Y:$Y, Y28, $S:$S, "&gt;"&amp;S28) + 1</f>
        <v>25</v>
      </c>
      <c r="U28" s="6">
        <f>0.85*E28+T28*0.15</f>
        <v>27.55</v>
      </c>
      <c r="V28" s="6">
        <f>100.4-0.4*W28</f>
        <v>89.600000000000009</v>
      </c>
      <c r="W28" s="6">
        <f>COUNTIFS($Y:$Y, Y28, $U:$U, "&lt;"&amp;U28) + 1</f>
        <v>27</v>
      </c>
      <c r="X28" s="5">
        <v>89</v>
      </c>
      <c r="Y28" s="6" t="s">
        <v>155</v>
      </c>
      <c r="Z28" s="10"/>
    </row>
    <row r="29" spans="1:26">
      <c r="A29" s="12">
        <v>152</v>
      </c>
      <c r="B29" s="5">
        <v>1120232626</v>
      </c>
      <c r="C29" s="6" t="s">
        <v>182</v>
      </c>
      <c r="D29" s="6" t="str">
        <f>VLOOKUP([1]成绩单!B27,[1]Sheet1!$A:$K,4,0)</f>
        <v>精工2312</v>
      </c>
      <c r="E29" s="5">
        <v>26</v>
      </c>
      <c r="F29" s="7">
        <v>0.29213499999999998</v>
      </c>
      <c r="G29" s="8">
        <v>87.409899999999993</v>
      </c>
      <c r="H29" s="5">
        <v>60</v>
      </c>
      <c r="I29" s="5">
        <v>136</v>
      </c>
      <c r="J29" s="5">
        <v>0</v>
      </c>
      <c r="K29" s="5">
        <v>0</v>
      </c>
      <c r="L29" s="6" t="s">
        <v>27</v>
      </c>
      <c r="M29" s="6">
        <v>0.45</v>
      </c>
      <c r="N29" s="6">
        <v>2</v>
      </c>
      <c r="O29" s="6">
        <v>0</v>
      </c>
      <c r="P29" s="6">
        <v>0.5</v>
      </c>
      <c r="Q29" s="6">
        <v>0.5</v>
      </c>
      <c r="R29" s="6"/>
      <c r="S29" s="6">
        <f>SUM(M29:Q29)</f>
        <v>3.45</v>
      </c>
      <c r="T29" s="6">
        <f>COUNTIFS($Y:$Y, Y29, $S:$S, "&gt;"&amp;S29) + 1</f>
        <v>75</v>
      </c>
      <c r="U29" s="6">
        <f>0.85*E29+T29*0.15</f>
        <v>33.349999999999994</v>
      </c>
      <c r="V29" s="6">
        <f>100.4-0.4*W29</f>
        <v>89.2</v>
      </c>
      <c r="W29" s="6">
        <f>COUNTIFS($Y:$Y, Y29, $U:$U, "&lt;"&amp;U29) + 1</f>
        <v>28</v>
      </c>
      <c r="X29" s="5">
        <v>89</v>
      </c>
      <c r="Y29" s="6" t="s">
        <v>155</v>
      </c>
      <c r="Z29" s="10"/>
    </row>
    <row r="30" spans="1:26">
      <c r="A30" s="5">
        <v>153</v>
      </c>
      <c r="B30" s="5">
        <v>1120231633</v>
      </c>
      <c r="C30" s="6" t="s">
        <v>183</v>
      </c>
      <c r="D30" s="6" t="str">
        <f>VLOOKUP([1]成绩单!B34,[1]Sheet1!$A:$K,4,0)</f>
        <v>精工2310</v>
      </c>
      <c r="E30" s="5">
        <v>33</v>
      </c>
      <c r="F30" s="7">
        <v>0.37078699999999998</v>
      </c>
      <c r="G30" s="8">
        <v>86.448499999999996</v>
      </c>
      <c r="H30" s="5">
        <v>60</v>
      </c>
      <c r="I30" s="5">
        <v>136</v>
      </c>
      <c r="J30" s="5">
        <v>0</v>
      </c>
      <c r="K30" s="5">
        <v>0</v>
      </c>
      <c r="L30" s="6" t="s">
        <v>27</v>
      </c>
      <c r="M30" s="6">
        <v>2.2999999999999998</v>
      </c>
      <c r="N30" s="6">
        <v>1.85</v>
      </c>
      <c r="O30" s="6">
        <v>2.2999999999999998</v>
      </c>
      <c r="P30" s="6">
        <v>3.6</v>
      </c>
      <c r="Q30" s="6">
        <v>7.6</v>
      </c>
      <c r="R30" s="6"/>
      <c r="S30" s="6">
        <f>SUM(M30:Q30)</f>
        <v>17.649999999999999</v>
      </c>
      <c r="T30" s="6">
        <f>COUNTIFS($Y:$Y, Y30, $S:$S, "&gt;"&amp;S30) + 1</f>
        <v>40</v>
      </c>
      <c r="U30" s="6">
        <f>0.85*E30+T30*0.15</f>
        <v>34.049999999999997</v>
      </c>
      <c r="V30" s="6">
        <f>100.4-0.4*W30</f>
        <v>88.800000000000011</v>
      </c>
      <c r="W30" s="6">
        <f>COUNTIFS($Y:$Y, Y30, $U:$U, "&lt;"&amp;U30) + 1</f>
        <v>29</v>
      </c>
      <c r="X30" s="5">
        <v>89</v>
      </c>
      <c r="Y30" s="6" t="s">
        <v>155</v>
      </c>
      <c r="Z30" s="10"/>
    </row>
    <row r="31" spans="1:26">
      <c r="A31" s="12">
        <v>154</v>
      </c>
      <c r="B31" s="5">
        <v>1120231027</v>
      </c>
      <c r="C31" s="6" t="s">
        <v>184</v>
      </c>
      <c r="D31" s="6" t="str">
        <f>VLOOKUP([1]成绩单!B30,[1]Sheet1!$A:$K,4,0)</f>
        <v>精工2310</v>
      </c>
      <c r="E31" s="5">
        <v>29</v>
      </c>
      <c r="F31" s="7">
        <v>0.32584299999999999</v>
      </c>
      <c r="G31" s="8">
        <v>87.289599999999993</v>
      </c>
      <c r="H31" s="5">
        <v>62</v>
      </c>
      <c r="I31" s="5">
        <v>139</v>
      </c>
      <c r="J31" s="5">
        <v>0</v>
      </c>
      <c r="K31" s="5">
        <v>0</v>
      </c>
      <c r="L31" s="6" t="s">
        <v>27</v>
      </c>
      <c r="M31" s="6">
        <v>1.3</v>
      </c>
      <c r="N31" s="6">
        <v>1</v>
      </c>
      <c r="O31" s="6">
        <v>1.65</v>
      </c>
      <c r="P31" s="6">
        <v>1.05</v>
      </c>
      <c r="Q31" s="6">
        <v>2</v>
      </c>
      <c r="R31" s="6"/>
      <c r="S31" s="6">
        <f>SUM(M31:Q31)</f>
        <v>7</v>
      </c>
      <c r="T31" s="6">
        <f>COUNTIFS($Y:$Y, Y31, $S:$S, "&gt;"&amp;S31) + 1</f>
        <v>63</v>
      </c>
      <c r="U31" s="6">
        <f>0.85*E31+T31*0.15</f>
        <v>34.099999999999994</v>
      </c>
      <c r="V31" s="6">
        <f>100.4-0.4*W31</f>
        <v>88.4</v>
      </c>
      <c r="W31" s="6">
        <f>COUNTIFS($Y:$Y, Y31, $U:$U, "&lt;"&amp;U31) + 1</f>
        <v>30</v>
      </c>
      <c r="X31" s="5">
        <v>89</v>
      </c>
      <c r="Y31" s="6" t="s">
        <v>155</v>
      </c>
      <c r="Z31" s="10"/>
    </row>
    <row r="32" spans="1:26">
      <c r="A32" s="5">
        <v>155</v>
      </c>
      <c r="B32" s="5">
        <v>1120232487</v>
      </c>
      <c r="C32" s="6" t="s">
        <v>185</v>
      </c>
      <c r="D32" s="6" t="str">
        <f>VLOOKUP([1]成绩单!B36,[1]Sheet1!$A:$K,4,0)</f>
        <v>精工2311</v>
      </c>
      <c r="E32" s="5">
        <v>35</v>
      </c>
      <c r="F32" s="7">
        <v>0.393258</v>
      </c>
      <c r="G32" s="8">
        <v>86.3292</v>
      </c>
      <c r="H32" s="5">
        <v>63</v>
      </c>
      <c r="I32" s="5">
        <v>142</v>
      </c>
      <c r="J32" s="5">
        <v>0</v>
      </c>
      <c r="K32" s="5">
        <v>0</v>
      </c>
      <c r="L32" s="6" t="s">
        <v>27</v>
      </c>
      <c r="M32" s="6">
        <v>4</v>
      </c>
      <c r="N32" s="6">
        <v>3.3</v>
      </c>
      <c r="O32" s="6">
        <v>3.8</v>
      </c>
      <c r="P32" s="6">
        <v>3.5</v>
      </c>
      <c r="Q32" s="6">
        <v>6.5</v>
      </c>
      <c r="R32" s="6"/>
      <c r="S32" s="6">
        <f>SUM(M32:Q32)</f>
        <v>21.1</v>
      </c>
      <c r="T32" s="6">
        <f>COUNTIFS($Y:$Y, Y32, $S:$S, "&gt;"&amp;S32) + 1</f>
        <v>34</v>
      </c>
      <c r="U32" s="6">
        <f>0.85*E32+T32*0.15</f>
        <v>34.85</v>
      </c>
      <c r="V32" s="6">
        <f>100.4-0.4*W32</f>
        <v>88</v>
      </c>
      <c r="W32" s="6">
        <f>COUNTIFS($Y:$Y, Y32, $U:$U, "&lt;"&amp;U32) + 1</f>
        <v>31</v>
      </c>
      <c r="X32" s="5">
        <v>89</v>
      </c>
      <c r="Y32" s="6" t="s">
        <v>155</v>
      </c>
      <c r="Z32" s="10"/>
    </row>
    <row r="33" spans="1:26">
      <c r="A33" s="12">
        <v>156</v>
      </c>
      <c r="B33" s="5">
        <v>1120232314</v>
      </c>
      <c r="C33" s="6" t="s">
        <v>186</v>
      </c>
      <c r="D33" s="6" t="str">
        <f>VLOOKUP([1]成绩单!B39,[1]Sheet1!$A:$K,4,0)</f>
        <v>精工2310</v>
      </c>
      <c r="E33" s="5">
        <v>38</v>
      </c>
      <c r="F33" s="7">
        <v>0.42696600000000001</v>
      </c>
      <c r="G33" s="8">
        <v>85.448899999999995</v>
      </c>
      <c r="H33" s="5">
        <v>63</v>
      </c>
      <c r="I33" s="5">
        <v>142</v>
      </c>
      <c r="J33" s="5">
        <v>0</v>
      </c>
      <c r="K33" s="5">
        <v>0</v>
      </c>
      <c r="L33" s="6" t="s">
        <v>27</v>
      </c>
      <c r="M33" s="6">
        <v>3.3</v>
      </c>
      <c r="N33" s="6">
        <v>5.6</v>
      </c>
      <c r="O33" s="6">
        <v>8.8000000000000007</v>
      </c>
      <c r="P33" s="6">
        <v>10.199999999999999</v>
      </c>
      <c r="Q33" s="6">
        <v>2</v>
      </c>
      <c r="R33" s="6"/>
      <c r="S33" s="6">
        <f>SUM(M33:Q33)</f>
        <v>29.9</v>
      </c>
      <c r="T33" s="6">
        <f>COUNTIFS($Y:$Y, Y33, $S:$S, "&gt;"&amp;S33) + 1</f>
        <v>19</v>
      </c>
      <c r="U33" s="6">
        <f>0.85*E33+T33*0.15</f>
        <v>35.15</v>
      </c>
      <c r="V33" s="6">
        <f>100.4-0.4*W33</f>
        <v>87.600000000000009</v>
      </c>
      <c r="W33" s="6">
        <f>COUNTIFS($Y:$Y, Y33, $U:$U, "&lt;"&amp;U33) + 1</f>
        <v>32</v>
      </c>
      <c r="X33" s="5">
        <v>89</v>
      </c>
      <c r="Y33" s="6" t="s">
        <v>155</v>
      </c>
      <c r="Z33" s="10"/>
    </row>
    <row r="34" spans="1:26">
      <c r="A34" s="5">
        <v>157</v>
      </c>
      <c r="B34" s="5">
        <v>1120232517</v>
      </c>
      <c r="C34" s="6" t="s">
        <v>187</v>
      </c>
      <c r="D34" s="6" t="str">
        <f>VLOOKUP([1]成绩单!B32,[1]Sheet1!$A:$K,4,0)</f>
        <v>精工2310</v>
      </c>
      <c r="E34" s="5">
        <v>31</v>
      </c>
      <c r="F34" s="7">
        <v>0.34831499999999999</v>
      </c>
      <c r="G34" s="8">
        <v>86.835999999999999</v>
      </c>
      <c r="H34" s="5">
        <v>64</v>
      </c>
      <c r="I34" s="11">
        <v>141.75</v>
      </c>
      <c r="J34" s="5">
        <v>0</v>
      </c>
      <c r="K34" s="5">
        <v>0</v>
      </c>
      <c r="L34" s="6" t="s">
        <v>27</v>
      </c>
      <c r="M34" s="6">
        <v>1</v>
      </c>
      <c r="N34" s="6">
        <v>1.6</v>
      </c>
      <c r="O34" s="6">
        <v>1.8</v>
      </c>
      <c r="P34" s="6">
        <v>1</v>
      </c>
      <c r="Q34" s="6">
        <v>2.5</v>
      </c>
      <c r="R34" s="6"/>
      <c r="S34" s="6">
        <f>SUM(M34:Q34)</f>
        <v>7.9</v>
      </c>
      <c r="T34" s="6">
        <f>COUNTIFS($Y:$Y, Y34, $S:$S, "&gt;"&amp;S34) + 1</f>
        <v>61</v>
      </c>
      <c r="U34" s="6">
        <f>0.85*E34+T34*0.15</f>
        <v>35.5</v>
      </c>
      <c r="V34" s="6">
        <f>100.4-0.4*W34</f>
        <v>87.2</v>
      </c>
      <c r="W34" s="6">
        <f>COUNTIFS($Y:$Y, Y34, $U:$U, "&lt;"&amp;U34) + 1</f>
        <v>33</v>
      </c>
      <c r="X34" s="5">
        <v>89</v>
      </c>
      <c r="Y34" s="6" t="s">
        <v>155</v>
      </c>
      <c r="Z34" s="10"/>
    </row>
    <row r="35" spans="1:26">
      <c r="A35" s="12">
        <v>158</v>
      </c>
      <c r="B35" s="5">
        <v>1120231756</v>
      </c>
      <c r="C35" s="6" t="s">
        <v>188</v>
      </c>
      <c r="D35" s="6" t="str">
        <f>VLOOKUP([1]成绩单!B35,[1]Sheet1!$A:$K,4,0)</f>
        <v>精工2310</v>
      </c>
      <c r="E35" s="5">
        <v>34</v>
      </c>
      <c r="F35" s="7">
        <v>0.38202199999999997</v>
      </c>
      <c r="G35" s="8">
        <v>86.414000000000001</v>
      </c>
      <c r="H35" s="5">
        <v>63</v>
      </c>
      <c r="I35" s="9">
        <v>139.5</v>
      </c>
      <c r="J35" s="5">
        <v>0</v>
      </c>
      <c r="K35" s="5">
        <v>0</v>
      </c>
      <c r="L35" s="6" t="s">
        <v>27</v>
      </c>
      <c r="M35" s="6">
        <v>3.5</v>
      </c>
      <c r="N35" s="6">
        <v>2.6</v>
      </c>
      <c r="O35" s="6">
        <v>2.7</v>
      </c>
      <c r="P35" s="6">
        <v>1.8</v>
      </c>
      <c r="Q35" s="6">
        <v>2.7</v>
      </c>
      <c r="R35" s="6"/>
      <c r="S35" s="6">
        <f>SUM(M35:Q35)</f>
        <v>13.3</v>
      </c>
      <c r="T35" s="6">
        <f>COUNTIFS($Y:$Y, Y35, $S:$S, "&gt;"&amp;S35) + 1</f>
        <v>48</v>
      </c>
      <c r="U35" s="6">
        <f>0.85*E35+T35*0.15</f>
        <v>36.099999999999994</v>
      </c>
      <c r="V35" s="6">
        <f>100.4-0.4*W35</f>
        <v>86.800000000000011</v>
      </c>
      <c r="W35" s="6">
        <f>COUNTIFS($Y:$Y, Y35, $U:$U, "&lt;"&amp;U35) + 1</f>
        <v>34</v>
      </c>
      <c r="X35" s="5">
        <v>89</v>
      </c>
      <c r="Y35" s="6" t="s">
        <v>155</v>
      </c>
      <c r="Z35" s="10"/>
    </row>
    <row r="36" spans="1:26">
      <c r="A36" s="5">
        <v>159</v>
      </c>
      <c r="B36" s="5">
        <v>1120231292</v>
      </c>
      <c r="C36" s="6" t="s">
        <v>189</v>
      </c>
      <c r="D36" s="6" t="str">
        <f>VLOOKUP([1]成绩单!B42,[1]Sheet1!$A:$K,4,0)</f>
        <v>精工2310</v>
      </c>
      <c r="E36" s="5">
        <v>41</v>
      </c>
      <c r="F36" s="7">
        <v>0.46067399999999997</v>
      </c>
      <c r="G36" s="8">
        <v>84.648600000000002</v>
      </c>
      <c r="H36" s="5">
        <v>64</v>
      </c>
      <c r="I36" s="5">
        <v>143</v>
      </c>
      <c r="J36" s="5">
        <v>0</v>
      </c>
      <c r="K36" s="5">
        <v>0</v>
      </c>
      <c r="L36" s="6" t="s">
        <v>27</v>
      </c>
      <c r="M36" s="6">
        <v>3.65</v>
      </c>
      <c r="N36" s="6">
        <v>6.2750000000000004</v>
      </c>
      <c r="O36" s="6">
        <v>4.5</v>
      </c>
      <c r="P36" s="6">
        <v>3</v>
      </c>
      <c r="Q36" s="6">
        <v>14.9</v>
      </c>
      <c r="R36" s="6"/>
      <c r="S36" s="6">
        <f>SUM(M36:Q36)</f>
        <v>32.325000000000003</v>
      </c>
      <c r="T36" s="6">
        <f>COUNTIFS($Y:$Y, Y36, $S:$S, "&gt;"&amp;S36) + 1</f>
        <v>13</v>
      </c>
      <c r="U36" s="6">
        <f>0.85*E36+T36*0.15</f>
        <v>36.800000000000004</v>
      </c>
      <c r="V36" s="6">
        <f>100.4-0.4*W36</f>
        <v>86.4</v>
      </c>
      <c r="W36" s="6">
        <f>COUNTIFS($Y:$Y, Y36, $U:$U, "&lt;"&amp;U36) + 1</f>
        <v>35</v>
      </c>
      <c r="X36" s="5">
        <v>89</v>
      </c>
      <c r="Y36" s="6" t="s">
        <v>155</v>
      </c>
      <c r="Z36" s="10"/>
    </row>
    <row r="37" spans="1:26">
      <c r="A37" s="12">
        <v>160</v>
      </c>
      <c r="B37" s="5">
        <v>1120230354</v>
      </c>
      <c r="C37" s="6" t="s">
        <v>190</v>
      </c>
      <c r="D37" s="6" t="str">
        <f>VLOOKUP([1]成绩单!B31,[1]Sheet1!$A:$K,4,0)</f>
        <v>精工2313</v>
      </c>
      <c r="E37" s="5">
        <v>30</v>
      </c>
      <c r="F37" s="7">
        <v>0.33707900000000002</v>
      </c>
      <c r="G37" s="8">
        <v>87.005200000000002</v>
      </c>
      <c r="H37" s="5">
        <v>62</v>
      </c>
      <c r="I37" s="9">
        <v>143.5</v>
      </c>
      <c r="J37" s="5">
        <v>0</v>
      </c>
      <c r="K37" s="5">
        <v>0</v>
      </c>
      <c r="L37" s="6" t="s">
        <v>27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/>
      <c r="S37" s="6">
        <f>SUM(M37:Q37)</f>
        <v>0</v>
      </c>
      <c r="T37" s="6">
        <f>COUNTIFS($Y:$Y, Y37, $S:$S, "&gt;"&amp;S37) + 1</f>
        <v>84</v>
      </c>
      <c r="U37" s="6">
        <f>0.85*E37+T37*0.15</f>
        <v>38.1</v>
      </c>
      <c r="V37" s="6">
        <f>100.4-0.4*W37</f>
        <v>86</v>
      </c>
      <c r="W37" s="6">
        <f>COUNTIFS($Y:$Y, Y37, $U:$U, "&lt;"&amp;U37) + 1</f>
        <v>36</v>
      </c>
      <c r="X37" s="5">
        <v>89</v>
      </c>
      <c r="Y37" s="6" t="s">
        <v>155</v>
      </c>
      <c r="Z37" s="10"/>
    </row>
    <row r="38" spans="1:26">
      <c r="A38" s="5">
        <v>161</v>
      </c>
      <c r="B38" s="5">
        <v>1120231754</v>
      </c>
      <c r="C38" s="6" t="s">
        <v>191</v>
      </c>
      <c r="D38" s="6" t="str">
        <f>VLOOKUP([1]成绩单!B33,[1]Sheet1!$A:$K,4,0)</f>
        <v>精工2312</v>
      </c>
      <c r="E38" s="5">
        <v>32</v>
      </c>
      <c r="F38" s="7">
        <v>0.35955100000000001</v>
      </c>
      <c r="G38" s="8">
        <v>86.742199999999997</v>
      </c>
      <c r="H38" s="5">
        <v>63</v>
      </c>
      <c r="I38" s="11">
        <v>136.75</v>
      </c>
      <c r="J38" s="5">
        <v>0</v>
      </c>
      <c r="K38" s="5">
        <v>0</v>
      </c>
      <c r="L38" s="6" t="s">
        <v>27</v>
      </c>
      <c r="M38" s="6">
        <v>1.3</v>
      </c>
      <c r="N38" s="6">
        <v>0</v>
      </c>
      <c r="O38" s="6">
        <v>0</v>
      </c>
      <c r="P38" s="6">
        <v>0</v>
      </c>
      <c r="Q38" s="6">
        <v>2.9</v>
      </c>
      <c r="R38" s="6"/>
      <c r="S38" s="6">
        <f>SUM(M38:Q38)</f>
        <v>4.2</v>
      </c>
      <c r="T38" s="6">
        <f>COUNTIFS($Y:$Y, Y38, $S:$S, "&gt;"&amp;S38) + 1</f>
        <v>73</v>
      </c>
      <c r="U38" s="6">
        <f>0.85*E38+T38*0.15</f>
        <v>38.15</v>
      </c>
      <c r="V38" s="6">
        <f>100.4-0.4*W38</f>
        <v>85.600000000000009</v>
      </c>
      <c r="W38" s="6">
        <f>COUNTIFS($Y:$Y, Y38, $U:$U, "&lt;"&amp;U38) + 1</f>
        <v>37</v>
      </c>
      <c r="X38" s="5">
        <v>89</v>
      </c>
      <c r="Y38" s="6" t="s">
        <v>155</v>
      </c>
      <c r="Z38" s="10"/>
    </row>
    <row r="39" spans="1:26">
      <c r="A39" s="12">
        <v>162</v>
      </c>
      <c r="B39" s="5">
        <v>1120231021</v>
      </c>
      <c r="C39" s="6" t="s">
        <v>192</v>
      </c>
      <c r="D39" s="6" t="str">
        <f>VLOOKUP([1]成绩单!B37,[1]Sheet1!$A:$K,4,0)</f>
        <v>精工2313</v>
      </c>
      <c r="E39" s="5">
        <v>36</v>
      </c>
      <c r="F39" s="7">
        <v>0.40449400000000002</v>
      </c>
      <c r="G39" s="8">
        <v>86.323499999999996</v>
      </c>
      <c r="H39" s="5">
        <v>60</v>
      </c>
      <c r="I39" s="5">
        <v>136</v>
      </c>
      <c r="J39" s="5">
        <v>0</v>
      </c>
      <c r="K39" s="5">
        <v>0</v>
      </c>
      <c r="L39" s="6" t="s">
        <v>27</v>
      </c>
      <c r="M39" s="6">
        <v>1</v>
      </c>
      <c r="N39" s="6">
        <v>1</v>
      </c>
      <c r="O39" s="6">
        <v>3</v>
      </c>
      <c r="P39" s="6">
        <v>4.2</v>
      </c>
      <c r="Q39" s="6">
        <v>1</v>
      </c>
      <c r="R39" s="6"/>
      <c r="S39" s="6">
        <f>SUM(M39:Q39)</f>
        <v>10.199999999999999</v>
      </c>
      <c r="T39" s="6">
        <f>COUNTIFS($Y:$Y, Y39, $S:$S, "&gt;"&amp;S39) + 1</f>
        <v>53</v>
      </c>
      <c r="U39" s="6">
        <f>0.85*E39+T39*0.15</f>
        <v>38.549999999999997</v>
      </c>
      <c r="V39" s="6">
        <f>100.4-0.4*W39</f>
        <v>85.2</v>
      </c>
      <c r="W39" s="6">
        <f>COUNTIFS($Y:$Y, Y39, $U:$U, "&lt;"&amp;U39) + 1</f>
        <v>38</v>
      </c>
      <c r="X39" s="5">
        <v>89</v>
      </c>
      <c r="Y39" s="6" t="s">
        <v>155</v>
      </c>
      <c r="Z39" s="10"/>
    </row>
    <row r="40" spans="1:26">
      <c r="A40" s="5">
        <v>163</v>
      </c>
      <c r="B40" s="5">
        <v>1120232039</v>
      </c>
      <c r="C40" s="6" t="s">
        <v>193</v>
      </c>
      <c r="D40" s="6" t="str">
        <f>VLOOKUP([1]成绩单!B40,[1]Sheet1!$A:$K,4,0)</f>
        <v>精工2312</v>
      </c>
      <c r="E40" s="5">
        <v>39</v>
      </c>
      <c r="F40" s="7">
        <v>0.43820199999999998</v>
      </c>
      <c r="G40" s="8">
        <v>85.128200000000007</v>
      </c>
      <c r="H40" s="5">
        <v>62</v>
      </c>
      <c r="I40" s="9">
        <v>138.5</v>
      </c>
      <c r="J40" s="5">
        <v>0</v>
      </c>
      <c r="K40" s="5">
        <v>0</v>
      </c>
      <c r="L40" s="6" t="s">
        <v>27</v>
      </c>
      <c r="M40" s="6">
        <v>3.7</v>
      </c>
      <c r="N40" s="6">
        <v>2.2000000000000002</v>
      </c>
      <c r="O40" s="6">
        <v>1.7</v>
      </c>
      <c r="P40" s="6">
        <v>1.5</v>
      </c>
      <c r="Q40" s="6">
        <v>0.2</v>
      </c>
      <c r="R40" s="6"/>
      <c r="S40" s="6">
        <f>SUM(M40:Q40)</f>
        <v>9.3000000000000007</v>
      </c>
      <c r="T40" s="6">
        <f>COUNTIFS($Y:$Y, Y40, $S:$S, "&gt;"&amp;S40) + 1</f>
        <v>56</v>
      </c>
      <c r="U40" s="6">
        <f>0.85*E40+T40*0.15</f>
        <v>41.55</v>
      </c>
      <c r="V40" s="6">
        <f>100.4-0.4*W40</f>
        <v>84.800000000000011</v>
      </c>
      <c r="W40" s="6">
        <f>COUNTIFS($Y:$Y, Y40, $U:$U, "&lt;"&amp;U40) + 1</f>
        <v>39</v>
      </c>
      <c r="X40" s="5">
        <v>89</v>
      </c>
      <c r="Y40" s="6" t="s">
        <v>155</v>
      </c>
      <c r="Z40" s="10"/>
    </row>
    <row r="41" spans="1:26">
      <c r="A41" s="12">
        <v>164</v>
      </c>
      <c r="B41" s="5">
        <v>1120231025</v>
      </c>
      <c r="C41" s="6" t="s">
        <v>194</v>
      </c>
      <c r="D41" s="6" t="str">
        <f>VLOOKUP([1]成绩单!B47,[1]Sheet1!$A:$K,4,0)</f>
        <v>精工2311</v>
      </c>
      <c r="E41" s="5">
        <v>46</v>
      </c>
      <c r="F41" s="7">
        <v>0.51685400000000004</v>
      </c>
      <c r="G41" s="8">
        <v>84.176500000000004</v>
      </c>
      <c r="H41" s="5">
        <v>60</v>
      </c>
      <c r="I41" s="5">
        <v>136</v>
      </c>
      <c r="J41" s="5">
        <v>0</v>
      </c>
      <c r="K41" s="5">
        <v>0</v>
      </c>
      <c r="L41" s="6" t="s">
        <v>27</v>
      </c>
      <c r="M41" s="6">
        <v>3.2</v>
      </c>
      <c r="N41" s="6">
        <v>6.5</v>
      </c>
      <c r="O41" s="6">
        <v>5.0999999999999996</v>
      </c>
      <c r="P41" s="6">
        <v>5.8</v>
      </c>
      <c r="Q41" s="6">
        <v>8.6</v>
      </c>
      <c r="R41" s="6"/>
      <c r="S41" s="6">
        <f>SUM(M41:Q41)</f>
        <v>29.199999999999996</v>
      </c>
      <c r="T41" s="6">
        <f>COUNTIFS($Y:$Y, Y41, $S:$S, "&gt;"&amp;S41) + 1</f>
        <v>22</v>
      </c>
      <c r="U41" s="6">
        <f>0.85*E41+T41*0.15</f>
        <v>42.4</v>
      </c>
      <c r="V41" s="6">
        <f>100.4-0.4*W41</f>
        <v>84.4</v>
      </c>
      <c r="W41" s="6">
        <f>COUNTIFS($Y:$Y, Y41, $U:$U, "&lt;"&amp;U41) + 1</f>
        <v>40</v>
      </c>
      <c r="X41" s="5">
        <v>89</v>
      </c>
      <c r="Y41" s="6" t="s">
        <v>155</v>
      </c>
      <c r="Z41" s="10"/>
    </row>
    <row r="42" spans="1:26">
      <c r="A42" s="5">
        <v>165</v>
      </c>
      <c r="B42" s="5">
        <v>1120231267</v>
      </c>
      <c r="C42" s="6" t="s">
        <v>195</v>
      </c>
      <c r="D42" s="6" t="str">
        <f>VLOOKUP([1]成绩单!B44,[1]Sheet1!$A:$K,4,0)</f>
        <v>精工2311</v>
      </c>
      <c r="E42" s="5">
        <v>43</v>
      </c>
      <c r="F42" s="7">
        <v>0.48314600000000002</v>
      </c>
      <c r="G42" s="8">
        <v>84.487099999999998</v>
      </c>
      <c r="H42" s="5">
        <v>61</v>
      </c>
      <c r="I42" s="5">
        <v>136</v>
      </c>
      <c r="J42" s="5">
        <v>0</v>
      </c>
      <c r="K42" s="5">
        <v>0</v>
      </c>
      <c r="L42" s="6" t="s">
        <v>27</v>
      </c>
      <c r="M42" s="6">
        <v>0.15</v>
      </c>
      <c r="N42" s="6">
        <v>1</v>
      </c>
      <c r="O42" s="6">
        <v>7.7</v>
      </c>
      <c r="P42" s="6">
        <v>1.7</v>
      </c>
      <c r="Q42" s="6">
        <v>6.7</v>
      </c>
      <c r="R42" s="6"/>
      <c r="S42" s="6">
        <f>SUM(M42:Q42)</f>
        <v>17.25</v>
      </c>
      <c r="T42" s="6">
        <f>COUNTIFS($Y:$Y, Y42, $S:$S, "&gt;"&amp;S42) + 1</f>
        <v>42</v>
      </c>
      <c r="U42" s="6">
        <f>0.85*E42+T42*0.15</f>
        <v>42.849999999999994</v>
      </c>
      <c r="V42" s="6">
        <f>100.4-0.4*W42</f>
        <v>84</v>
      </c>
      <c r="W42" s="6">
        <f>COUNTIFS($Y:$Y, Y42, $U:$U, "&lt;"&amp;U42) + 1</f>
        <v>41</v>
      </c>
      <c r="X42" s="5">
        <v>89</v>
      </c>
      <c r="Y42" s="6" t="s">
        <v>155</v>
      </c>
      <c r="Z42" s="10"/>
    </row>
    <row r="43" spans="1:26">
      <c r="A43" s="12">
        <v>166</v>
      </c>
      <c r="B43" s="5">
        <v>1120232885</v>
      </c>
      <c r="C43" s="6" t="s">
        <v>196</v>
      </c>
      <c r="D43" s="6" t="str">
        <f>VLOOKUP([1]成绩单!B38,[1]Sheet1!$A:$K,4,0)</f>
        <v>精工2311</v>
      </c>
      <c r="E43" s="5">
        <v>37</v>
      </c>
      <c r="F43" s="7">
        <v>0.41572999999999999</v>
      </c>
      <c r="G43" s="8">
        <v>85.474299999999999</v>
      </c>
      <c r="H43" s="5">
        <v>60</v>
      </c>
      <c r="I43" s="5">
        <v>136</v>
      </c>
      <c r="J43" s="5">
        <v>0</v>
      </c>
      <c r="K43" s="5">
        <v>0</v>
      </c>
      <c r="L43" s="6" t="s">
        <v>27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/>
      <c r="S43" s="6">
        <f>SUM(M43:Q43)</f>
        <v>0</v>
      </c>
      <c r="T43" s="6">
        <f>COUNTIFS($Y:$Y, Y43, $S:$S, "&gt;"&amp;S43) + 1</f>
        <v>84</v>
      </c>
      <c r="U43" s="6">
        <f>0.85*E43+T43*0.15</f>
        <v>44.05</v>
      </c>
      <c r="V43" s="6">
        <f>100.4-0.4*W43</f>
        <v>83.600000000000009</v>
      </c>
      <c r="W43" s="6">
        <f>COUNTIFS($Y:$Y, Y43, $U:$U, "&lt;"&amp;U43) + 1</f>
        <v>42</v>
      </c>
      <c r="X43" s="5">
        <v>89</v>
      </c>
      <c r="Y43" s="6" t="s">
        <v>155</v>
      </c>
      <c r="Z43" s="10"/>
    </row>
    <row r="44" spans="1:26">
      <c r="A44" s="5">
        <v>167</v>
      </c>
      <c r="B44" s="5">
        <v>1120231783</v>
      </c>
      <c r="C44" s="6" t="s">
        <v>197</v>
      </c>
      <c r="D44" s="6" t="str">
        <f>VLOOKUP([1]成绩单!B41,[1]Sheet1!$A:$K,4,0)</f>
        <v>精工2313</v>
      </c>
      <c r="E44" s="5">
        <v>40</v>
      </c>
      <c r="F44" s="7">
        <v>0.449438</v>
      </c>
      <c r="G44" s="8">
        <v>84.977900000000005</v>
      </c>
      <c r="H44" s="5">
        <v>60</v>
      </c>
      <c r="I44" s="5">
        <v>136</v>
      </c>
      <c r="J44" s="5">
        <v>0</v>
      </c>
      <c r="K44" s="5">
        <v>0</v>
      </c>
      <c r="L44" s="6" t="s">
        <v>27</v>
      </c>
      <c r="M44" s="6">
        <v>0.4</v>
      </c>
      <c r="N44" s="6">
        <v>0.95</v>
      </c>
      <c r="O44" s="6">
        <v>2.4</v>
      </c>
      <c r="P44" s="6">
        <v>1.5</v>
      </c>
      <c r="Q44" s="6">
        <v>1.2</v>
      </c>
      <c r="R44" s="6"/>
      <c r="S44" s="6">
        <f>SUM(M44:Q44)</f>
        <v>6.45</v>
      </c>
      <c r="T44" s="6">
        <f>COUNTIFS($Y:$Y, Y44, $S:$S, "&gt;"&amp;S44) + 1</f>
        <v>67</v>
      </c>
      <c r="U44" s="6">
        <f>0.85*E44+T44*0.15</f>
        <v>44.05</v>
      </c>
      <c r="V44" s="6">
        <f>100.4-0.4*W44</f>
        <v>83.600000000000009</v>
      </c>
      <c r="W44" s="6">
        <f>COUNTIFS($Y:$Y, Y44, $U:$U, "&lt;"&amp;U44) + 1</f>
        <v>42</v>
      </c>
      <c r="X44" s="5">
        <v>89</v>
      </c>
      <c r="Y44" s="6" t="s">
        <v>155</v>
      </c>
      <c r="Z44" s="10"/>
    </row>
    <row r="45" spans="1:26">
      <c r="A45" s="12">
        <v>168</v>
      </c>
      <c r="B45" s="5">
        <v>1120231767</v>
      </c>
      <c r="C45" s="6" t="s">
        <v>198</v>
      </c>
      <c r="D45" s="6" t="str">
        <f>VLOOKUP([1]成绩单!B46,[1]Sheet1!$A:$K,4,0)</f>
        <v>精工2311</v>
      </c>
      <c r="E45" s="5">
        <v>45</v>
      </c>
      <c r="F45" s="7">
        <v>0.50561800000000001</v>
      </c>
      <c r="G45" s="8">
        <v>84.178799999999995</v>
      </c>
      <c r="H45" s="5">
        <v>61</v>
      </c>
      <c r="I45" s="5">
        <v>137</v>
      </c>
      <c r="J45" s="5">
        <v>0</v>
      </c>
      <c r="K45" s="5">
        <v>0</v>
      </c>
      <c r="L45" s="6" t="s">
        <v>27</v>
      </c>
      <c r="M45" s="6">
        <v>3.95</v>
      </c>
      <c r="N45" s="6">
        <v>2</v>
      </c>
      <c r="O45" s="6">
        <v>5.8</v>
      </c>
      <c r="P45" s="6">
        <v>3.48</v>
      </c>
      <c r="Q45" s="6">
        <v>1</v>
      </c>
      <c r="R45" s="6"/>
      <c r="S45" s="6">
        <f>SUM(M45:Q45)</f>
        <v>16.23</v>
      </c>
      <c r="T45" s="6">
        <f>COUNTIFS($Y:$Y, Y45, $S:$S, "&gt;"&amp;S45) + 1</f>
        <v>44</v>
      </c>
      <c r="U45" s="6">
        <f>0.85*E45+T45*0.15</f>
        <v>44.85</v>
      </c>
      <c r="V45" s="6">
        <f>100.4-0.4*W45</f>
        <v>82.800000000000011</v>
      </c>
      <c r="W45" s="6">
        <f>COUNTIFS($Y:$Y, Y45, $U:$U, "&lt;"&amp;U45) + 1</f>
        <v>44</v>
      </c>
      <c r="X45" s="5">
        <v>89</v>
      </c>
      <c r="Y45" s="6" t="s">
        <v>155</v>
      </c>
      <c r="Z45" s="10"/>
    </row>
    <row r="46" spans="1:26">
      <c r="A46" s="5">
        <v>169</v>
      </c>
      <c r="B46" s="5">
        <v>1120232282</v>
      </c>
      <c r="C46" s="6" t="s">
        <v>199</v>
      </c>
      <c r="D46" s="6" t="str">
        <f>VLOOKUP([1]成绩单!B43,[1]Sheet1!$A:$K,4,0)</f>
        <v>精工2311</v>
      </c>
      <c r="E46" s="5">
        <v>42</v>
      </c>
      <c r="F46" s="7">
        <v>0.47191</v>
      </c>
      <c r="G46" s="8">
        <v>84.507400000000004</v>
      </c>
      <c r="H46" s="5">
        <v>60</v>
      </c>
      <c r="I46" s="5">
        <v>136</v>
      </c>
      <c r="J46" s="5">
        <v>0</v>
      </c>
      <c r="K46" s="5">
        <v>0</v>
      </c>
      <c r="L46" s="6" t="s">
        <v>27</v>
      </c>
      <c r="M46" s="6">
        <v>2</v>
      </c>
      <c r="N46" s="6">
        <v>1</v>
      </c>
      <c r="O46" s="6">
        <v>1</v>
      </c>
      <c r="P46" s="6">
        <v>1.5</v>
      </c>
      <c r="Q46" s="6">
        <v>1.5</v>
      </c>
      <c r="R46" s="6"/>
      <c r="S46" s="6">
        <f>SUM(M46:Q46)</f>
        <v>7</v>
      </c>
      <c r="T46" s="6">
        <f>COUNTIFS($Y:$Y, Y46, $S:$S, "&gt;"&amp;S46) + 1</f>
        <v>63</v>
      </c>
      <c r="U46" s="6">
        <f>0.85*E46+T46*0.15</f>
        <v>45.149999999999991</v>
      </c>
      <c r="V46" s="6">
        <f>100.4-0.4*W46</f>
        <v>82.4</v>
      </c>
      <c r="W46" s="6">
        <f>COUNTIFS($Y:$Y, Y46, $U:$U, "&lt;"&amp;U46) + 1</f>
        <v>45</v>
      </c>
      <c r="X46" s="5">
        <v>89</v>
      </c>
      <c r="Y46" s="6" t="s">
        <v>155</v>
      </c>
      <c r="Z46" s="10"/>
    </row>
    <row r="47" spans="1:26">
      <c r="A47" s="12">
        <v>170</v>
      </c>
      <c r="B47" s="5">
        <v>1120232508</v>
      </c>
      <c r="C47" s="6" t="s">
        <v>200</v>
      </c>
      <c r="D47" s="6" t="str">
        <f>VLOOKUP([1]成绩单!B50,[1]Sheet1!$A:$K,4,0)</f>
        <v>精工2313</v>
      </c>
      <c r="E47" s="5">
        <v>49</v>
      </c>
      <c r="F47" s="7">
        <v>0.550562</v>
      </c>
      <c r="G47" s="8">
        <v>83.516199999999998</v>
      </c>
      <c r="H47" s="5">
        <v>62</v>
      </c>
      <c r="I47" s="5">
        <v>139</v>
      </c>
      <c r="J47" s="5">
        <v>0</v>
      </c>
      <c r="K47" s="5">
        <v>0</v>
      </c>
      <c r="L47" s="6" t="s">
        <v>27</v>
      </c>
      <c r="M47" s="6">
        <v>0.7</v>
      </c>
      <c r="N47" s="6">
        <v>2.6</v>
      </c>
      <c r="O47" s="6">
        <v>4.8</v>
      </c>
      <c r="P47" s="6">
        <v>7.7</v>
      </c>
      <c r="Q47" s="6">
        <v>9.1999999999999993</v>
      </c>
      <c r="R47" s="6"/>
      <c r="S47" s="6">
        <f>SUM(M47:Q47)</f>
        <v>25</v>
      </c>
      <c r="T47" s="6">
        <f>COUNTIFS($Y:$Y, Y47, $S:$S, "&gt;"&amp;S47) + 1</f>
        <v>26</v>
      </c>
      <c r="U47" s="6">
        <f>0.85*E47+T47*0.15</f>
        <v>45.55</v>
      </c>
      <c r="V47" s="6">
        <f>100.4-0.4*W47</f>
        <v>82</v>
      </c>
      <c r="W47" s="6">
        <f>COUNTIFS($Y:$Y, Y47, $U:$U, "&lt;"&amp;U47) + 1</f>
        <v>46</v>
      </c>
      <c r="X47" s="5">
        <v>89</v>
      </c>
      <c r="Y47" s="6" t="s">
        <v>155</v>
      </c>
      <c r="Z47" s="10"/>
    </row>
    <row r="48" spans="1:26">
      <c r="A48" s="5">
        <v>171</v>
      </c>
      <c r="B48" s="5">
        <v>1120230739</v>
      </c>
      <c r="C48" s="6" t="s">
        <v>201</v>
      </c>
      <c r="D48" s="6" t="str">
        <f>VLOOKUP([1]成绩单!B48,[1]Sheet1!$A:$K,4,0)</f>
        <v>精工2312</v>
      </c>
      <c r="E48" s="5">
        <v>47</v>
      </c>
      <c r="F48" s="7">
        <v>0.52808999999999995</v>
      </c>
      <c r="G48" s="8">
        <v>84.162400000000005</v>
      </c>
      <c r="H48" s="5">
        <v>61</v>
      </c>
      <c r="I48" s="5">
        <v>137</v>
      </c>
      <c r="J48" s="5">
        <v>0</v>
      </c>
      <c r="K48" s="5">
        <v>0</v>
      </c>
      <c r="L48" s="6" t="s">
        <v>27</v>
      </c>
      <c r="M48" s="6">
        <v>1.2</v>
      </c>
      <c r="N48" s="6">
        <v>3</v>
      </c>
      <c r="O48" s="6">
        <v>3.7</v>
      </c>
      <c r="P48" s="6">
        <v>4.5</v>
      </c>
      <c r="Q48" s="6">
        <v>2.2000000000000002</v>
      </c>
      <c r="R48" s="6"/>
      <c r="S48" s="6">
        <f>SUM(M48:Q48)</f>
        <v>14.600000000000001</v>
      </c>
      <c r="T48" s="6">
        <f>COUNTIFS($Y:$Y, Y48, $S:$S, "&gt;"&amp;S48) + 1</f>
        <v>47</v>
      </c>
      <c r="U48" s="6">
        <f>0.85*E48+T48*0.15</f>
        <v>46.999999999999993</v>
      </c>
      <c r="V48" s="6">
        <f>100.4-0.4*W48</f>
        <v>81.600000000000009</v>
      </c>
      <c r="W48" s="6">
        <f>COUNTIFS($Y:$Y, Y48, $U:$U, "&lt;"&amp;U48) + 1</f>
        <v>47</v>
      </c>
      <c r="X48" s="5">
        <v>89</v>
      </c>
      <c r="Y48" s="6" t="s">
        <v>155</v>
      </c>
      <c r="Z48" s="10"/>
    </row>
    <row r="49" spans="1:26">
      <c r="A49" s="12">
        <v>172</v>
      </c>
      <c r="B49" s="5">
        <v>1120231437</v>
      </c>
      <c r="C49" s="6" t="s">
        <v>202</v>
      </c>
      <c r="D49" s="6" t="str">
        <f>VLOOKUP([1]成绩单!B45,[1]Sheet1!$A:$K,4,0)</f>
        <v>精工2310</v>
      </c>
      <c r="E49" s="5">
        <v>44</v>
      </c>
      <c r="F49" s="7">
        <v>0.49438199999999999</v>
      </c>
      <c r="G49" s="8">
        <v>84.229799999999997</v>
      </c>
      <c r="H49" s="5">
        <v>60</v>
      </c>
      <c r="I49" s="5">
        <v>136</v>
      </c>
      <c r="J49" s="5">
        <v>0</v>
      </c>
      <c r="K49" s="5">
        <v>0</v>
      </c>
      <c r="L49" s="6" t="s">
        <v>27</v>
      </c>
      <c r="M49" s="6">
        <v>1.65</v>
      </c>
      <c r="N49" s="6">
        <v>1.75</v>
      </c>
      <c r="O49" s="6">
        <v>1</v>
      </c>
      <c r="P49" s="6">
        <v>1.55</v>
      </c>
      <c r="Q49" s="6">
        <v>0.5</v>
      </c>
      <c r="R49" s="6"/>
      <c r="S49" s="6">
        <f>SUM(M49:Q49)</f>
        <v>6.45</v>
      </c>
      <c r="T49" s="6">
        <f>COUNTIFS($Y:$Y, Y49, $S:$S, "&gt;"&amp;S49) + 1</f>
        <v>67</v>
      </c>
      <c r="U49" s="6">
        <f>0.85*E49+T49*0.15</f>
        <v>47.449999999999996</v>
      </c>
      <c r="V49" s="6">
        <f>100.4-0.4*W49</f>
        <v>81.2</v>
      </c>
      <c r="W49" s="6">
        <f>COUNTIFS($Y:$Y, Y49, $U:$U, "&lt;"&amp;U49) + 1</f>
        <v>48</v>
      </c>
      <c r="X49" s="5">
        <v>89</v>
      </c>
      <c r="Y49" s="6" t="s">
        <v>155</v>
      </c>
      <c r="Z49" s="10"/>
    </row>
    <row r="50" spans="1:26">
      <c r="A50" s="5">
        <v>173</v>
      </c>
      <c r="B50" s="5">
        <v>1120232507</v>
      </c>
      <c r="C50" s="6" t="s">
        <v>203</v>
      </c>
      <c r="D50" s="6" t="str">
        <f>VLOOKUP([1]成绩单!B49,[1]Sheet1!$A:$K,4,0)</f>
        <v>精工2313</v>
      </c>
      <c r="E50" s="5">
        <v>48</v>
      </c>
      <c r="F50" s="7">
        <v>0.53932599999999997</v>
      </c>
      <c r="G50" s="8">
        <v>83.690600000000003</v>
      </c>
      <c r="H50" s="5">
        <v>62</v>
      </c>
      <c r="I50" s="5">
        <v>139</v>
      </c>
      <c r="J50" s="5">
        <v>0</v>
      </c>
      <c r="K50" s="5">
        <v>0</v>
      </c>
      <c r="L50" s="6" t="s">
        <v>27</v>
      </c>
      <c r="M50" s="6">
        <v>1.3</v>
      </c>
      <c r="N50" s="6">
        <v>4.2</v>
      </c>
      <c r="O50" s="6">
        <v>2.5</v>
      </c>
      <c r="P50" s="6">
        <v>3</v>
      </c>
      <c r="Q50" s="6">
        <v>2</v>
      </c>
      <c r="R50" s="6"/>
      <c r="S50" s="6">
        <f>SUM(M50:Q50)</f>
        <v>13</v>
      </c>
      <c r="T50" s="6">
        <f>COUNTIFS($Y:$Y, Y50, $S:$S, "&gt;"&amp;S50) + 1</f>
        <v>49</v>
      </c>
      <c r="U50" s="6">
        <f>0.85*E50+T50*0.15</f>
        <v>48.15</v>
      </c>
      <c r="V50" s="6">
        <f>100.4-0.4*W50</f>
        <v>80.800000000000011</v>
      </c>
      <c r="W50" s="6">
        <f>COUNTIFS($Y:$Y, Y50, $U:$U, "&lt;"&amp;U50) + 1</f>
        <v>49</v>
      </c>
      <c r="X50" s="5">
        <v>89</v>
      </c>
      <c r="Y50" s="6" t="s">
        <v>155</v>
      </c>
      <c r="Z50" s="10"/>
    </row>
    <row r="51" spans="1:26">
      <c r="A51" s="12">
        <v>174</v>
      </c>
      <c r="B51" s="5">
        <v>1120230217</v>
      </c>
      <c r="C51" s="6" t="s">
        <v>204</v>
      </c>
      <c r="D51" s="6" t="str">
        <f>VLOOKUP([1]成绩单!B56,[1]Sheet1!$A:$K,4,0)</f>
        <v>精工2312</v>
      </c>
      <c r="E51" s="5">
        <v>55</v>
      </c>
      <c r="F51" s="7">
        <v>0.61797800000000003</v>
      </c>
      <c r="G51" s="8">
        <v>82.111500000000007</v>
      </c>
      <c r="H51" s="5">
        <v>63</v>
      </c>
      <c r="I51" s="5">
        <v>139</v>
      </c>
      <c r="J51" s="5">
        <v>1</v>
      </c>
      <c r="K51" s="5">
        <v>1</v>
      </c>
      <c r="L51" s="6" t="s">
        <v>27</v>
      </c>
      <c r="M51" s="6">
        <v>4.05</v>
      </c>
      <c r="N51" s="6">
        <v>3</v>
      </c>
      <c r="O51" s="6">
        <v>6.2</v>
      </c>
      <c r="P51" s="6">
        <v>15.5</v>
      </c>
      <c r="Q51" s="6">
        <v>5.6</v>
      </c>
      <c r="R51" s="6"/>
      <c r="S51" s="6">
        <f>SUM(M51:Q51)</f>
        <v>34.35</v>
      </c>
      <c r="T51" s="6">
        <f>COUNTIFS($Y:$Y, Y51, $S:$S, "&gt;"&amp;S51) + 1</f>
        <v>10</v>
      </c>
      <c r="U51" s="6">
        <f>0.85*E51+T51*0.15</f>
        <v>48.25</v>
      </c>
      <c r="V51" s="6">
        <f>100.4-0.4*W51</f>
        <v>80.400000000000006</v>
      </c>
      <c r="W51" s="6">
        <f>COUNTIFS($Y:$Y, Y51, $U:$U, "&lt;"&amp;U51) + 1</f>
        <v>50</v>
      </c>
      <c r="X51" s="5">
        <v>89</v>
      </c>
      <c r="Y51" s="6" t="s">
        <v>155</v>
      </c>
      <c r="Z51" s="10"/>
    </row>
    <row r="52" spans="1:26">
      <c r="A52" s="5">
        <v>175</v>
      </c>
      <c r="B52" s="5">
        <v>1120231030</v>
      </c>
      <c r="C52" s="6" t="s">
        <v>205</v>
      </c>
      <c r="D52" s="6" t="str">
        <f>VLOOKUP([1]成绩单!B53,[1]Sheet1!$A:$K,4,0)</f>
        <v>精工2312</v>
      </c>
      <c r="E52" s="5">
        <v>52</v>
      </c>
      <c r="F52" s="7">
        <v>0.58426999999999996</v>
      </c>
      <c r="G52" s="8">
        <v>83.092699999999994</v>
      </c>
      <c r="H52" s="5">
        <v>64</v>
      </c>
      <c r="I52" s="5">
        <v>143</v>
      </c>
      <c r="J52" s="5">
        <v>0</v>
      </c>
      <c r="K52" s="5">
        <v>0</v>
      </c>
      <c r="L52" s="6" t="s">
        <v>27</v>
      </c>
      <c r="M52" s="6">
        <v>0</v>
      </c>
      <c r="N52" s="6">
        <v>1.4</v>
      </c>
      <c r="O52" s="6">
        <v>6.8</v>
      </c>
      <c r="P52" s="6">
        <v>7.5</v>
      </c>
      <c r="Q52" s="6">
        <v>2.5</v>
      </c>
      <c r="R52" s="6"/>
      <c r="S52" s="6">
        <f>SUM(M52:Q52)</f>
        <v>18.2</v>
      </c>
      <c r="T52" s="6">
        <f>COUNTIFS($Y:$Y, Y52, $S:$S, "&gt;"&amp;S52) + 1</f>
        <v>38</v>
      </c>
      <c r="U52" s="6">
        <f>0.85*E52+T52*0.15</f>
        <v>49.9</v>
      </c>
      <c r="V52" s="6">
        <f>100.4-0.4*W52</f>
        <v>80</v>
      </c>
      <c r="W52" s="6">
        <f>COUNTIFS($Y:$Y, Y52, $U:$U, "&lt;"&amp;U52) + 1</f>
        <v>51</v>
      </c>
      <c r="X52" s="5">
        <v>89</v>
      </c>
      <c r="Y52" s="6" t="s">
        <v>155</v>
      </c>
      <c r="Z52" s="10"/>
    </row>
    <row r="53" spans="1:26">
      <c r="A53" s="12">
        <v>176</v>
      </c>
      <c r="B53" s="5">
        <v>1120231648</v>
      </c>
      <c r="C53" s="6" t="s">
        <v>206</v>
      </c>
      <c r="D53" s="6" t="str">
        <f>VLOOKUP([1]成绩单!B54,[1]Sheet1!$A:$K,4,0)</f>
        <v>精工2313</v>
      </c>
      <c r="E53" s="5">
        <v>53</v>
      </c>
      <c r="F53" s="7">
        <v>0.59550599999999998</v>
      </c>
      <c r="G53" s="8">
        <v>82.419300000000007</v>
      </c>
      <c r="H53" s="5">
        <v>68</v>
      </c>
      <c r="I53" s="11">
        <v>150.25</v>
      </c>
      <c r="J53" s="5">
        <v>1</v>
      </c>
      <c r="K53" s="5">
        <v>1</v>
      </c>
      <c r="L53" s="6" t="s">
        <v>27</v>
      </c>
      <c r="M53" s="6">
        <v>1.8</v>
      </c>
      <c r="N53" s="6">
        <v>3.8</v>
      </c>
      <c r="O53" s="6">
        <v>6.75</v>
      </c>
      <c r="P53" s="6">
        <v>5.9</v>
      </c>
      <c r="Q53" s="6">
        <v>3.5</v>
      </c>
      <c r="R53" s="6"/>
      <c r="S53" s="6">
        <f>SUM(M53:Q53)</f>
        <v>21.75</v>
      </c>
      <c r="T53" s="6">
        <f>COUNTIFS($Y:$Y, Y53, $S:$S, "&gt;"&amp;S53) + 1</f>
        <v>33</v>
      </c>
      <c r="U53" s="6">
        <f>0.85*E53+T53*0.15</f>
        <v>50</v>
      </c>
      <c r="V53" s="6">
        <f>100.4-0.4*W53</f>
        <v>79.600000000000009</v>
      </c>
      <c r="W53" s="6">
        <f>COUNTIFS($Y:$Y, Y53, $U:$U, "&lt;"&amp;U53) + 1</f>
        <v>52</v>
      </c>
      <c r="X53" s="5">
        <v>89</v>
      </c>
      <c r="Y53" s="6" t="s">
        <v>155</v>
      </c>
      <c r="Z53" s="10"/>
    </row>
    <row r="54" spans="1:26">
      <c r="A54" s="5">
        <v>177</v>
      </c>
      <c r="B54" s="5">
        <v>1120233000</v>
      </c>
      <c r="C54" s="6" t="s">
        <v>207</v>
      </c>
      <c r="D54" s="6" t="str">
        <f>VLOOKUP([1]成绩单!B51,[1]Sheet1!$A:$K,4,0)</f>
        <v>精工2311</v>
      </c>
      <c r="E54" s="5">
        <v>50</v>
      </c>
      <c r="F54" s="7">
        <v>0.56179800000000002</v>
      </c>
      <c r="G54" s="8">
        <v>83.3934</v>
      </c>
      <c r="H54" s="5">
        <v>60</v>
      </c>
      <c r="I54" s="5">
        <v>136</v>
      </c>
      <c r="J54" s="5">
        <v>0</v>
      </c>
      <c r="K54" s="5">
        <v>0</v>
      </c>
      <c r="L54" s="6" t="s">
        <v>27</v>
      </c>
      <c r="M54" s="6">
        <v>1.7</v>
      </c>
      <c r="N54" s="6">
        <v>3.5</v>
      </c>
      <c r="O54" s="6">
        <v>1</v>
      </c>
      <c r="P54" s="6">
        <v>2</v>
      </c>
      <c r="Q54" s="6">
        <v>1</v>
      </c>
      <c r="R54" s="6"/>
      <c r="S54" s="6">
        <f>SUM(M54:Q54)</f>
        <v>9.1999999999999993</v>
      </c>
      <c r="T54" s="6">
        <f>COUNTIFS($Y:$Y, Y54, $S:$S, "&gt;"&amp;S54) + 1</f>
        <v>57</v>
      </c>
      <c r="U54" s="6">
        <f>0.85*E54+T54*0.15</f>
        <v>51.05</v>
      </c>
      <c r="V54" s="6">
        <f>100.4-0.4*W54</f>
        <v>79.2</v>
      </c>
      <c r="W54" s="6">
        <f>COUNTIFS($Y:$Y, Y54, $U:$U, "&lt;"&amp;U54) + 1</f>
        <v>53</v>
      </c>
      <c r="X54" s="5">
        <v>89</v>
      </c>
      <c r="Y54" s="6" t="s">
        <v>155</v>
      </c>
      <c r="Z54" s="10"/>
    </row>
    <row r="55" spans="1:26">
      <c r="A55" s="12">
        <v>178</v>
      </c>
      <c r="B55" s="5">
        <v>1120231435</v>
      </c>
      <c r="C55" s="6" t="s">
        <v>208</v>
      </c>
      <c r="D55" s="6" t="str">
        <f>VLOOKUP([1]成绩单!B55,[1]Sheet1!$A:$K,4,0)</f>
        <v>精工2312</v>
      </c>
      <c r="E55" s="5">
        <v>54</v>
      </c>
      <c r="F55" s="7">
        <v>0.606742</v>
      </c>
      <c r="G55" s="8">
        <v>82.148899999999998</v>
      </c>
      <c r="H55" s="5">
        <v>60</v>
      </c>
      <c r="I55" s="5">
        <v>136</v>
      </c>
      <c r="J55" s="5">
        <v>0</v>
      </c>
      <c r="K55" s="5">
        <v>0</v>
      </c>
      <c r="L55" s="6" t="s">
        <v>27</v>
      </c>
      <c r="M55" s="6">
        <v>2.7</v>
      </c>
      <c r="N55" s="6">
        <v>3.2</v>
      </c>
      <c r="O55" s="6">
        <v>5.15</v>
      </c>
      <c r="P55" s="6">
        <v>1</v>
      </c>
      <c r="Q55" s="6">
        <v>4.3</v>
      </c>
      <c r="R55" s="6"/>
      <c r="S55" s="6">
        <f>SUM(M55:Q55)</f>
        <v>16.350000000000001</v>
      </c>
      <c r="T55" s="6">
        <f>COUNTIFS($Y:$Y, Y55, $S:$S, "&gt;"&amp;S55) + 1</f>
        <v>43</v>
      </c>
      <c r="U55" s="6">
        <f>0.85*E55+T55*0.15</f>
        <v>52.35</v>
      </c>
      <c r="V55" s="6">
        <f>100.4-0.4*W55</f>
        <v>78.800000000000011</v>
      </c>
      <c r="W55" s="6">
        <f>COUNTIFS($Y:$Y, Y55, $U:$U, "&lt;"&amp;U55) + 1</f>
        <v>54</v>
      </c>
      <c r="X55" s="5">
        <v>89</v>
      </c>
      <c r="Y55" s="6" t="s">
        <v>155</v>
      </c>
      <c r="Z55" s="10"/>
    </row>
    <row r="56" spans="1:26">
      <c r="A56" s="5">
        <v>179</v>
      </c>
      <c r="B56" s="5">
        <v>1120232516</v>
      </c>
      <c r="C56" s="6" t="s">
        <v>209</v>
      </c>
      <c r="D56" s="6" t="str">
        <f>VLOOKUP([1]成绩单!B58,[1]Sheet1!$A:$K,4,0)</f>
        <v>精工2312</v>
      </c>
      <c r="E56" s="5">
        <v>57</v>
      </c>
      <c r="F56" s="7">
        <v>0.64044900000000005</v>
      </c>
      <c r="G56" s="8">
        <v>81.343100000000007</v>
      </c>
      <c r="H56" s="5">
        <v>61</v>
      </c>
      <c r="I56" s="5">
        <v>137</v>
      </c>
      <c r="J56" s="5">
        <v>0</v>
      </c>
      <c r="K56" s="5">
        <v>0</v>
      </c>
      <c r="L56" s="6" t="s">
        <v>27</v>
      </c>
      <c r="M56" s="6">
        <v>0</v>
      </c>
      <c r="N56" s="6">
        <v>0.9</v>
      </c>
      <c r="O56" s="6">
        <v>4</v>
      </c>
      <c r="P56" s="6">
        <v>4.2</v>
      </c>
      <c r="Q56" s="6">
        <v>6.2</v>
      </c>
      <c r="R56" s="6"/>
      <c r="S56" s="6">
        <f>SUM(M56:Q56)</f>
        <v>15.3</v>
      </c>
      <c r="T56" s="6">
        <f>COUNTIFS($Y:$Y, Y56, $S:$S, "&gt;"&amp;S56) + 1</f>
        <v>46</v>
      </c>
      <c r="U56" s="6">
        <f>0.85*E56+T56*0.15</f>
        <v>55.349999999999994</v>
      </c>
      <c r="V56" s="6">
        <f>100.4-0.4*W56</f>
        <v>78.400000000000006</v>
      </c>
      <c r="W56" s="6">
        <f>COUNTIFS($Y:$Y, Y56, $U:$U, "&lt;"&amp;U56) + 1</f>
        <v>55</v>
      </c>
      <c r="X56" s="5">
        <v>89</v>
      </c>
      <c r="Y56" s="6" t="s">
        <v>155</v>
      </c>
      <c r="Z56" s="10"/>
    </row>
    <row r="57" spans="1:26">
      <c r="A57" s="12">
        <v>180</v>
      </c>
      <c r="B57" s="5">
        <v>1120231001</v>
      </c>
      <c r="C57" s="6" t="s">
        <v>210</v>
      </c>
      <c r="D57" s="6" t="str">
        <f>VLOOKUP([1]成绩单!B52,[1]Sheet1!$A:$K,4,0)</f>
        <v>精工2311</v>
      </c>
      <c r="E57" s="5">
        <v>51</v>
      </c>
      <c r="F57" s="7">
        <v>0.57303400000000004</v>
      </c>
      <c r="G57" s="8">
        <v>83.142099999999999</v>
      </c>
      <c r="H57" s="5">
        <v>59</v>
      </c>
      <c r="I57" s="9">
        <v>135.5</v>
      </c>
      <c r="J57" s="5">
        <v>0</v>
      </c>
      <c r="K57" s="5">
        <v>0</v>
      </c>
      <c r="L57" s="6" t="s">
        <v>27</v>
      </c>
      <c r="M57" s="6">
        <v>0.7</v>
      </c>
      <c r="N57" s="6">
        <v>0</v>
      </c>
      <c r="O57" s="6">
        <v>0</v>
      </c>
      <c r="P57" s="6">
        <v>0</v>
      </c>
      <c r="Q57" s="6">
        <v>0</v>
      </c>
      <c r="R57" s="6"/>
      <c r="S57" s="6">
        <f>SUM(M57:Q57)</f>
        <v>0.7</v>
      </c>
      <c r="T57" s="6">
        <f>COUNTIFS($Y:$Y, Y57, $S:$S, "&gt;"&amp;S57) + 1</f>
        <v>83</v>
      </c>
      <c r="U57" s="6">
        <f>0.85*E57+T57*0.15</f>
        <v>55.8</v>
      </c>
      <c r="V57" s="6">
        <f>100.4-0.4*W57</f>
        <v>78</v>
      </c>
      <c r="W57" s="6">
        <f>COUNTIFS($Y:$Y, Y57, $U:$U, "&lt;"&amp;U57) + 1</f>
        <v>56</v>
      </c>
      <c r="X57" s="5">
        <v>89</v>
      </c>
      <c r="Y57" s="6" t="s">
        <v>155</v>
      </c>
      <c r="Z57" s="10"/>
    </row>
    <row r="58" spans="1:26">
      <c r="A58" s="5">
        <v>181</v>
      </c>
      <c r="B58" s="5">
        <v>1120230889</v>
      </c>
      <c r="C58" s="6" t="s">
        <v>211</v>
      </c>
      <c r="D58" s="6" t="str">
        <f>VLOOKUP([1]成绩单!B62,[1]Sheet1!$A:$K,4,0)</f>
        <v>精工2310</v>
      </c>
      <c r="E58" s="5">
        <v>61</v>
      </c>
      <c r="F58" s="7">
        <v>0.68539300000000003</v>
      </c>
      <c r="G58" s="8">
        <v>80.798500000000004</v>
      </c>
      <c r="H58" s="5">
        <v>61</v>
      </c>
      <c r="I58" s="9">
        <v>136.5</v>
      </c>
      <c r="J58" s="5">
        <v>0</v>
      </c>
      <c r="K58" s="5">
        <v>0</v>
      </c>
      <c r="L58" s="6" t="s">
        <v>27</v>
      </c>
      <c r="M58" s="6">
        <v>5.3</v>
      </c>
      <c r="N58" s="6">
        <v>4.7</v>
      </c>
      <c r="O58" s="6">
        <v>6.4</v>
      </c>
      <c r="P58" s="6">
        <v>3.5</v>
      </c>
      <c r="Q58" s="6">
        <v>2</v>
      </c>
      <c r="R58" s="6"/>
      <c r="S58" s="6">
        <f>SUM(M58:Q58)</f>
        <v>21.9</v>
      </c>
      <c r="T58" s="6">
        <f>COUNTIFS($Y:$Y, Y58, $S:$S, "&gt;"&amp;S58) + 1</f>
        <v>32</v>
      </c>
      <c r="U58" s="6">
        <f>0.85*E58+T58*0.15</f>
        <v>56.65</v>
      </c>
      <c r="V58" s="6">
        <f>100.4-0.4*W58</f>
        <v>77.600000000000009</v>
      </c>
      <c r="W58" s="6">
        <f>COUNTIFS($Y:$Y, Y58, $U:$U, "&lt;"&amp;U58) + 1</f>
        <v>57</v>
      </c>
      <c r="X58" s="5">
        <v>89</v>
      </c>
      <c r="Y58" s="6" t="s">
        <v>155</v>
      </c>
      <c r="Z58" s="10"/>
    </row>
    <row r="59" spans="1:26">
      <c r="A59" s="12">
        <v>182</v>
      </c>
      <c r="B59" s="5">
        <v>1120232497</v>
      </c>
      <c r="C59" s="6" t="s">
        <v>212</v>
      </c>
      <c r="D59" s="6" t="str">
        <f>VLOOKUP([1]成绩单!B59,[1]Sheet1!$A:$K,4,0)</f>
        <v>精工2313</v>
      </c>
      <c r="E59" s="5">
        <v>58</v>
      </c>
      <c r="F59" s="7">
        <v>0.65168499999999996</v>
      </c>
      <c r="G59" s="8">
        <v>81.082099999999997</v>
      </c>
      <c r="H59" s="5">
        <v>61</v>
      </c>
      <c r="I59" s="5">
        <v>137</v>
      </c>
      <c r="J59" s="5">
        <v>0</v>
      </c>
      <c r="K59" s="5">
        <v>0</v>
      </c>
      <c r="L59" s="6" t="s">
        <v>27</v>
      </c>
      <c r="M59" s="6">
        <v>5.0999999999999996</v>
      </c>
      <c r="N59" s="6">
        <v>2.85</v>
      </c>
      <c r="O59" s="6">
        <v>0.85</v>
      </c>
      <c r="P59" s="6">
        <v>1.4</v>
      </c>
      <c r="Q59" s="6">
        <v>0</v>
      </c>
      <c r="R59" s="6"/>
      <c r="S59" s="6">
        <f>SUM(M59:Q59)</f>
        <v>10.199999999999999</v>
      </c>
      <c r="T59" s="6">
        <f>COUNTIFS($Y:$Y, Y59, $S:$S, "&gt;"&amp;S59) + 1</f>
        <v>53</v>
      </c>
      <c r="U59" s="6">
        <f>0.85*E59+T59*0.15</f>
        <v>57.25</v>
      </c>
      <c r="V59" s="6">
        <f>100.4-0.4*W59</f>
        <v>77.2</v>
      </c>
      <c r="W59" s="6">
        <f>COUNTIFS($Y:$Y, Y59, $U:$U, "&lt;"&amp;U59) + 1</f>
        <v>58</v>
      </c>
      <c r="X59" s="5">
        <v>89</v>
      </c>
      <c r="Y59" s="6" t="s">
        <v>155</v>
      </c>
      <c r="Z59" s="10"/>
    </row>
    <row r="60" spans="1:26">
      <c r="A60" s="5">
        <v>183</v>
      </c>
      <c r="B60" s="5">
        <v>1120232521</v>
      </c>
      <c r="C60" s="6" t="s">
        <v>213</v>
      </c>
      <c r="D60" s="6" t="str">
        <f>VLOOKUP([1]成绩单!B57,[1]Sheet1!$A:$K,4,0)</f>
        <v>精工2312</v>
      </c>
      <c r="E60" s="5">
        <v>56</v>
      </c>
      <c r="F60" s="7">
        <v>0.62921300000000002</v>
      </c>
      <c r="G60" s="8">
        <v>81.438900000000004</v>
      </c>
      <c r="H60" s="5">
        <v>60</v>
      </c>
      <c r="I60" s="5">
        <v>135</v>
      </c>
      <c r="J60" s="5">
        <v>0</v>
      </c>
      <c r="K60" s="5">
        <v>0</v>
      </c>
      <c r="L60" s="6" t="s">
        <v>27</v>
      </c>
      <c r="M60" s="6">
        <v>1</v>
      </c>
      <c r="N60" s="6">
        <v>1</v>
      </c>
      <c r="O60" s="6">
        <v>1.3</v>
      </c>
      <c r="P60" s="6">
        <v>0.45</v>
      </c>
      <c r="Q60" s="6">
        <v>0.5</v>
      </c>
      <c r="R60" s="6"/>
      <c r="S60" s="6">
        <f>SUM(M60:Q60)</f>
        <v>4.25</v>
      </c>
      <c r="T60" s="6">
        <f>COUNTIFS($Y:$Y, Y60, $S:$S, "&gt;"&amp;S60) + 1</f>
        <v>72</v>
      </c>
      <c r="U60" s="6">
        <f>0.85*E60+T60*0.15</f>
        <v>58.4</v>
      </c>
      <c r="V60" s="6">
        <f>100.4-0.4*W60</f>
        <v>76.800000000000011</v>
      </c>
      <c r="W60" s="6">
        <f>COUNTIFS($Y:$Y, Y60, $U:$U, "&lt;"&amp;U60) + 1</f>
        <v>59</v>
      </c>
      <c r="X60" s="5">
        <v>89</v>
      </c>
      <c r="Y60" s="6" t="s">
        <v>155</v>
      </c>
      <c r="Z60" s="10"/>
    </row>
    <row r="61" spans="1:26">
      <c r="A61" s="12">
        <v>184</v>
      </c>
      <c r="B61" s="5">
        <v>1120230329</v>
      </c>
      <c r="C61" s="6" t="s">
        <v>214</v>
      </c>
      <c r="D61" s="6" t="str">
        <f>VLOOKUP([1]成绩单!B66,[1]Sheet1!$A:$K,4,0)</f>
        <v>精工2311</v>
      </c>
      <c r="E61" s="5">
        <v>65</v>
      </c>
      <c r="F61" s="7">
        <v>0.73033700000000001</v>
      </c>
      <c r="G61" s="8">
        <v>79.324100000000001</v>
      </c>
      <c r="H61" s="5">
        <v>60</v>
      </c>
      <c r="I61" s="5">
        <v>135</v>
      </c>
      <c r="J61" s="5">
        <v>0</v>
      </c>
      <c r="K61" s="5">
        <v>0</v>
      </c>
      <c r="L61" s="6" t="s">
        <v>27</v>
      </c>
      <c r="M61" s="6">
        <v>4</v>
      </c>
      <c r="N61" s="6">
        <v>3</v>
      </c>
      <c r="O61" s="6">
        <v>9.5</v>
      </c>
      <c r="P61" s="6">
        <v>1.5</v>
      </c>
      <c r="Q61" s="6">
        <v>4.3</v>
      </c>
      <c r="R61" s="6"/>
      <c r="S61" s="6">
        <f>SUM(M61:Q61)</f>
        <v>22.3</v>
      </c>
      <c r="T61" s="6">
        <f>COUNTIFS($Y:$Y, Y61, $S:$S, "&gt;"&amp;S61) + 1</f>
        <v>30</v>
      </c>
      <c r="U61" s="6">
        <f>0.85*E61+T61*0.15</f>
        <v>59.75</v>
      </c>
      <c r="V61" s="6">
        <f>100.4-0.4*W61</f>
        <v>76.400000000000006</v>
      </c>
      <c r="W61" s="6">
        <f>COUNTIFS($Y:$Y, Y61, $U:$U, "&lt;"&amp;U61) + 1</f>
        <v>60</v>
      </c>
      <c r="X61" s="5">
        <v>89</v>
      </c>
      <c r="Y61" s="6" t="s">
        <v>155</v>
      </c>
      <c r="Z61" s="10"/>
    </row>
    <row r="62" spans="1:26">
      <c r="A62" s="5">
        <v>185</v>
      </c>
      <c r="B62" s="5">
        <v>1120232200</v>
      </c>
      <c r="C62" s="6" t="s">
        <v>215</v>
      </c>
      <c r="D62" s="6" t="str">
        <f>VLOOKUP([1]成绩单!B61,[1]Sheet1!$A:$K,4,0)</f>
        <v>精工2310</v>
      </c>
      <c r="E62" s="5">
        <v>60</v>
      </c>
      <c r="F62" s="7">
        <v>0.67415700000000001</v>
      </c>
      <c r="G62" s="8">
        <v>80.902199999999993</v>
      </c>
      <c r="H62" s="5">
        <v>61</v>
      </c>
      <c r="I62" s="5">
        <v>138</v>
      </c>
      <c r="J62" s="5">
        <v>0</v>
      </c>
      <c r="K62" s="5">
        <v>0</v>
      </c>
      <c r="L62" s="6" t="s">
        <v>27</v>
      </c>
      <c r="M62" s="6">
        <v>0.8</v>
      </c>
      <c r="N62" s="6">
        <v>1.2</v>
      </c>
      <c r="O62" s="6">
        <v>4.2</v>
      </c>
      <c r="P62" s="6">
        <v>1.2</v>
      </c>
      <c r="Q62" s="6">
        <v>0.2</v>
      </c>
      <c r="R62" s="6"/>
      <c r="S62" s="6">
        <f>SUM(M62:Q62)</f>
        <v>7.6000000000000005</v>
      </c>
      <c r="T62" s="6">
        <f>COUNTIFS($Y:$Y, Y62, $S:$S, "&gt;"&amp;S62) + 1</f>
        <v>62</v>
      </c>
      <c r="U62" s="6">
        <f>0.85*E62+T62*0.15</f>
        <v>60.3</v>
      </c>
      <c r="V62" s="6">
        <f>100.4-0.4*W62</f>
        <v>76</v>
      </c>
      <c r="W62" s="6">
        <f>COUNTIFS($Y:$Y, Y62, $U:$U, "&lt;"&amp;U62) + 1</f>
        <v>61</v>
      </c>
      <c r="X62" s="5">
        <v>89</v>
      </c>
      <c r="Y62" s="6" t="s">
        <v>155</v>
      </c>
      <c r="Z62" s="10"/>
    </row>
    <row r="63" spans="1:26">
      <c r="A63" s="12">
        <v>186</v>
      </c>
      <c r="B63" s="5">
        <v>1120231440</v>
      </c>
      <c r="C63" s="6" t="s">
        <v>216</v>
      </c>
      <c r="D63" s="6" t="str">
        <f>VLOOKUP([1]成绩单!B69,[1]Sheet1!$A:$K,4,0)</f>
        <v>精工2313</v>
      </c>
      <c r="E63" s="5">
        <v>68</v>
      </c>
      <c r="F63" s="7">
        <v>0.76404499999999997</v>
      </c>
      <c r="G63" s="8">
        <v>78.423400000000001</v>
      </c>
      <c r="H63" s="5">
        <v>61</v>
      </c>
      <c r="I63" s="5">
        <v>137</v>
      </c>
      <c r="J63" s="5">
        <v>0</v>
      </c>
      <c r="K63" s="5">
        <v>0</v>
      </c>
      <c r="L63" s="6" t="s">
        <v>27</v>
      </c>
      <c r="M63" s="6">
        <v>3.9</v>
      </c>
      <c r="N63" s="6">
        <v>3.5</v>
      </c>
      <c r="O63" s="6">
        <v>5</v>
      </c>
      <c r="P63" s="6">
        <v>5.3</v>
      </c>
      <c r="Q63" s="6">
        <v>12.3</v>
      </c>
      <c r="R63" s="6"/>
      <c r="S63" s="6">
        <f>SUM(M63:Q63)</f>
        <v>30</v>
      </c>
      <c r="T63" s="6">
        <f>COUNTIFS($Y:$Y, Y63, $S:$S, "&gt;"&amp;S63) + 1</f>
        <v>18</v>
      </c>
      <c r="U63" s="6">
        <f>0.85*E63+T63*0.15</f>
        <v>60.5</v>
      </c>
      <c r="V63" s="6">
        <f>100.4-0.4*W63</f>
        <v>75.600000000000009</v>
      </c>
      <c r="W63" s="6">
        <f>COUNTIFS($Y:$Y, Y63, $U:$U, "&lt;"&amp;U63) + 1</f>
        <v>62</v>
      </c>
      <c r="X63" s="5">
        <v>89</v>
      </c>
      <c r="Y63" s="6" t="s">
        <v>155</v>
      </c>
      <c r="Z63" s="10"/>
    </row>
    <row r="64" spans="1:26">
      <c r="A64" s="5">
        <v>187</v>
      </c>
      <c r="B64" s="5">
        <v>1120230993</v>
      </c>
      <c r="C64" s="6" t="s">
        <v>217</v>
      </c>
      <c r="D64" s="6" t="str">
        <f>VLOOKUP([1]成绩单!B60,[1]Sheet1!$A:$K,4,0)</f>
        <v>精工2310</v>
      </c>
      <c r="E64" s="5">
        <v>59</v>
      </c>
      <c r="F64" s="7">
        <v>0.66292099999999998</v>
      </c>
      <c r="G64" s="8">
        <v>80.972300000000004</v>
      </c>
      <c r="H64" s="5">
        <v>60</v>
      </c>
      <c r="I64" s="11">
        <v>135.25</v>
      </c>
      <c r="J64" s="5">
        <v>0</v>
      </c>
      <c r="K64" s="5">
        <v>0</v>
      </c>
      <c r="L64" s="6" t="s">
        <v>27</v>
      </c>
      <c r="M64" s="6">
        <v>1.5</v>
      </c>
      <c r="N64" s="6">
        <v>1.2</v>
      </c>
      <c r="O64" s="6">
        <v>0</v>
      </c>
      <c r="P64" s="6">
        <v>0.6</v>
      </c>
      <c r="Q64" s="6">
        <v>0</v>
      </c>
      <c r="R64" s="6"/>
      <c r="S64" s="6">
        <f>SUM(M64:Q64)</f>
        <v>3.3000000000000003</v>
      </c>
      <c r="T64" s="6">
        <f>COUNTIFS($Y:$Y, Y64, $S:$S, "&gt;"&amp;S64) + 1</f>
        <v>76</v>
      </c>
      <c r="U64" s="6">
        <f>0.85*E64+T64*0.15</f>
        <v>61.55</v>
      </c>
      <c r="V64" s="6">
        <f>100.4-0.4*W64</f>
        <v>75.2</v>
      </c>
      <c r="W64" s="6">
        <f>COUNTIFS($Y:$Y, Y64, $U:$U, "&lt;"&amp;U64) + 1</f>
        <v>63</v>
      </c>
      <c r="X64" s="5">
        <v>89</v>
      </c>
      <c r="Y64" s="6" t="s">
        <v>155</v>
      </c>
      <c r="Z64" s="10"/>
    </row>
    <row r="65" spans="1:26">
      <c r="A65" s="12">
        <v>188</v>
      </c>
      <c r="B65" s="12">
        <v>1120231029</v>
      </c>
      <c r="C65" s="13" t="s">
        <v>218</v>
      </c>
      <c r="D65" s="6" t="str">
        <f>VLOOKUP([1]成绩单!B70,[1]Sheet1!$A:$K,4,0)</f>
        <v>精工2310</v>
      </c>
      <c r="E65" s="12">
        <v>69</v>
      </c>
      <c r="F65" s="14">
        <v>0.775281</v>
      </c>
      <c r="G65" s="15">
        <v>78.379599999999996</v>
      </c>
      <c r="H65" s="12">
        <v>61</v>
      </c>
      <c r="I65" s="12">
        <v>137</v>
      </c>
      <c r="J65" s="12">
        <v>2</v>
      </c>
      <c r="K65" s="12">
        <v>1</v>
      </c>
      <c r="L65" s="13" t="s">
        <v>27</v>
      </c>
      <c r="M65" s="6">
        <v>3.95</v>
      </c>
      <c r="N65" s="6">
        <v>2</v>
      </c>
      <c r="O65" s="6">
        <v>10.1</v>
      </c>
      <c r="P65" s="6">
        <v>4.4000000000000004</v>
      </c>
      <c r="Q65" s="6">
        <v>6.3</v>
      </c>
      <c r="R65" s="13"/>
      <c r="S65" s="6">
        <f>SUM(M65:Q65)</f>
        <v>26.750000000000004</v>
      </c>
      <c r="T65" s="6">
        <f>COUNTIFS($Y:$Y, Y65, $S:$S, "&gt;"&amp;S65) + 1</f>
        <v>23</v>
      </c>
      <c r="U65" s="6">
        <f>0.85*E65+T65*0.15</f>
        <v>62.1</v>
      </c>
      <c r="V65" s="6">
        <f>100.4-0.4*W65</f>
        <v>74.800000000000011</v>
      </c>
      <c r="W65" s="6">
        <f>COUNTIFS($Y:$Y, Y65, $U:$U, "&lt;"&amp;U65) + 1</f>
        <v>64</v>
      </c>
      <c r="X65" s="12">
        <v>89</v>
      </c>
      <c r="Y65" s="13" t="s">
        <v>155</v>
      </c>
      <c r="Z65" s="17"/>
    </row>
    <row r="66" spans="1:26">
      <c r="A66" s="5">
        <v>189</v>
      </c>
      <c r="B66" s="5">
        <v>1120231017</v>
      </c>
      <c r="C66" s="6" t="s">
        <v>219</v>
      </c>
      <c r="D66" s="6" t="str">
        <f>VLOOKUP([1]成绩单!B67,[1]Sheet1!$A:$K,4,0)</f>
        <v>精工2310</v>
      </c>
      <c r="E66" s="5">
        <v>66</v>
      </c>
      <c r="F66" s="7">
        <v>0.74157300000000004</v>
      </c>
      <c r="G66" s="8">
        <v>78.869600000000005</v>
      </c>
      <c r="H66" s="5">
        <v>62</v>
      </c>
      <c r="I66" s="5">
        <v>138</v>
      </c>
      <c r="J66" s="5">
        <v>2</v>
      </c>
      <c r="K66" s="5">
        <v>2</v>
      </c>
      <c r="L66" s="6" t="s">
        <v>27</v>
      </c>
      <c r="M66" s="6">
        <v>3.9</v>
      </c>
      <c r="N66" s="6">
        <v>2.5</v>
      </c>
      <c r="O66" s="6">
        <v>1.7</v>
      </c>
      <c r="P66" s="6">
        <v>6.7</v>
      </c>
      <c r="Q66" s="6">
        <v>2.75</v>
      </c>
      <c r="R66" s="6"/>
      <c r="S66" s="6">
        <f>SUM(M66:Q66)</f>
        <v>17.55</v>
      </c>
      <c r="T66" s="6">
        <f>COUNTIFS($Y:$Y, Y66, $S:$S, "&gt;"&amp;S66) + 1</f>
        <v>41</v>
      </c>
      <c r="U66" s="6">
        <f>0.85*E66+T66*0.15</f>
        <v>62.25</v>
      </c>
      <c r="V66" s="6">
        <f>100.4-0.4*W66</f>
        <v>74.400000000000006</v>
      </c>
      <c r="W66" s="6">
        <f>COUNTIFS($Y:$Y, Y66, $U:$U, "&lt;"&amp;U66) + 1</f>
        <v>65</v>
      </c>
      <c r="X66" s="5">
        <v>89</v>
      </c>
      <c r="Y66" s="6" t="s">
        <v>155</v>
      </c>
      <c r="Z66" s="10"/>
    </row>
    <row r="67" spans="1:26">
      <c r="A67" s="12">
        <v>190</v>
      </c>
      <c r="B67" s="5">
        <v>1120230988</v>
      </c>
      <c r="C67" s="6" t="s">
        <v>220</v>
      </c>
      <c r="D67" s="6" t="str">
        <f>VLOOKUP([1]成绩单!B65,[1]Sheet1!$A:$K,4,0)</f>
        <v>精工2312</v>
      </c>
      <c r="E67" s="5">
        <v>64</v>
      </c>
      <c r="F67" s="7">
        <v>0.71910099999999999</v>
      </c>
      <c r="G67" s="8">
        <v>79.649600000000007</v>
      </c>
      <c r="H67" s="5">
        <v>61</v>
      </c>
      <c r="I67" s="5">
        <v>137</v>
      </c>
      <c r="J67" s="5">
        <v>0</v>
      </c>
      <c r="K67" s="5">
        <v>0</v>
      </c>
      <c r="L67" s="6" t="s">
        <v>27</v>
      </c>
      <c r="M67" s="6">
        <v>1.7</v>
      </c>
      <c r="N67" s="6">
        <v>1</v>
      </c>
      <c r="O67" s="6">
        <v>3.5</v>
      </c>
      <c r="P67" s="6">
        <v>0</v>
      </c>
      <c r="Q67" s="6">
        <v>0.5</v>
      </c>
      <c r="R67" s="6"/>
      <c r="S67" s="6">
        <f>SUM(M67:Q67)</f>
        <v>6.7</v>
      </c>
      <c r="T67" s="6">
        <f>COUNTIFS($Y:$Y, Y67, $S:$S, "&gt;"&amp;S67) + 1</f>
        <v>65</v>
      </c>
      <c r="U67" s="6">
        <f>0.85*E67+T67*0.15</f>
        <v>64.150000000000006</v>
      </c>
      <c r="V67" s="6">
        <f>100.4-0.4*W67</f>
        <v>74</v>
      </c>
      <c r="W67" s="6">
        <f>COUNTIFS($Y:$Y, Y67, $U:$U, "&lt;"&amp;U67) + 1</f>
        <v>66</v>
      </c>
      <c r="X67" s="5">
        <v>89</v>
      </c>
      <c r="Y67" s="6" t="s">
        <v>155</v>
      </c>
      <c r="Z67" s="10"/>
    </row>
    <row r="68" spans="1:26">
      <c r="A68" s="5">
        <v>191</v>
      </c>
      <c r="B68" s="5">
        <v>1120232703</v>
      </c>
      <c r="C68" s="6" t="s">
        <v>221</v>
      </c>
      <c r="D68" s="6" t="str">
        <f>VLOOKUP([1]成绩单!B64,[1]Sheet1!$A:$K,4,0)</f>
        <v>精工2313</v>
      </c>
      <c r="E68" s="5">
        <v>63</v>
      </c>
      <c r="F68" s="7">
        <v>0.70786499999999997</v>
      </c>
      <c r="G68" s="8">
        <v>79.818899999999999</v>
      </c>
      <c r="H68" s="5">
        <v>59</v>
      </c>
      <c r="I68" s="9">
        <v>132.5</v>
      </c>
      <c r="J68" s="5">
        <v>0</v>
      </c>
      <c r="K68" s="5">
        <v>0</v>
      </c>
      <c r="L68" s="6" t="s">
        <v>27</v>
      </c>
      <c r="M68" s="6">
        <v>0</v>
      </c>
      <c r="N68" s="6">
        <v>0</v>
      </c>
      <c r="O68" s="6">
        <v>3.5</v>
      </c>
      <c r="P68" s="6">
        <v>0</v>
      </c>
      <c r="Q68" s="6">
        <v>0</v>
      </c>
      <c r="R68" s="6"/>
      <c r="S68" s="6">
        <f>SUM(M68:Q68)</f>
        <v>3.5</v>
      </c>
      <c r="T68" s="6">
        <f>COUNTIFS($Y:$Y, Y68, $S:$S, "&gt;"&amp;S68) + 1</f>
        <v>74</v>
      </c>
      <c r="U68" s="6">
        <f>0.85*E68+T68*0.15</f>
        <v>64.649999999999991</v>
      </c>
      <c r="V68" s="6">
        <f>100.4-0.4*W68</f>
        <v>73.600000000000009</v>
      </c>
      <c r="W68" s="6">
        <f>COUNTIFS($Y:$Y, Y68, $U:$U, "&lt;"&amp;U68) + 1</f>
        <v>67</v>
      </c>
      <c r="X68" s="5">
        <v>89</v>
      </c>
      <c r="Y68" s="6" t="s">
        <v>155</v>
      </c>
      <c r="Z68" s="10"/>
    </row>
    <row r="69" spans="1:26">
      <c r="A69" s="12">
        <v>192</v>
      </c>
      <c r="B69" s="5">
        <v>1120232486</v>
      </c>
      <c r="C69" s="6" t="s">
        <v>222</v>
      </c>
      <c r="D69" s="6" t="str">
        <f>VLOOKUP([1]成绩单!B63,[1]Sheet1!$A:$K,4,0)</f>
        <v>精工2310</v>
      </c>
      <c r="E69" s="5">
        <v>62</v>
      </c>
      <c r="F69" s="7">
        <v>0.69662900000000005</v>
      </c>
      <c r="G69" s="8">
        <v>80.553299999999993</v>
      </c>
      <c r="H69" s="5">
        <v>60</v>
      </c>
      <c r="I69" s="5">
        <v>136</v>
      </c>
      <c r="J69" s="5">
        <v>0</v>
      </c>
      <c r="K69" s="5">
        <v>0</v>
      </c>
      <c r="L69" s="6" t="s">
        <v>27</v>
      </c>
      <c r="M69" s="6">
        <v>0</v>
      </c>
      <c r="N69" s="6">
        <v>0</v>
      </c>
      <c r="O69" s="6">
        <v>0</v>
      </c>
      <c r="P69" s="6">
        <v>-0.5</v>
      </c>
      <c r="Q69" s="6">
        <v>0.5</v>
      </c>
      <c r="R69" s="6"/>
      <c r="S69" s="6">
        <f>SUM(M69:Q69)</f>
        <v>0</v>
      </c>
      <c r="T69" s="6">
        <f>COUNTIFS($Y:$Y, Y69, $S:$S, "&gt;"&amp;S69) + 1</f>
        <v>84</v>
      </c>
      <c r="U69" s="6">
        <f>0.85*E69+T69*0.15</f>
        <v>65.3</v>
      </c>
      <c r="V69" s="6">
        <f>100.4-0.4*W69</f>
        <v>73.2</v>
      </c>
      <c r="W69" s="6">
        <f>COUNTIFS($Y:$Y, Y69, $U:$U, "&lt;"&amp;U69) + 1</f>
        <v>68</v>
      </c>
      <c r="X69" s="5">
        <v>89</v>
      </c>
      <c r="Y69" s="6" t="s">
        <v>155</v>
      </c>
      <c r="Z69" s="10"/>
    </row>
    <row r="70" spans="1:26">
      <c r="A70" s="5">
        <v>193</v>
      </c>
      <c r="B70" s="5">
        <v>1120231443</v>
      </c>
      <c r="C70" s="6" t="s">
        <v>223</v>
      </c>
      <c r="D70" s="6" t="str">
        <f>VLOOKUP([1]成绩单!B71,[1]Sheet1!$A:$K,4,0)</f>
        <v>精工2313</v>
      </c>
      <c r="E70" s="5">
        <v>70</v>
      </c>
      <c r="F70" s="7">
        <v>0.78651700000000002</v>
      </c>
      <c r="G70" s="8">
        <v>77.8352</v>
      </c>
      <c r="H70" s="5">
        <v>60</v>
      </c>
      <c r="I70" s="5">
        <v>135</v>
      </c>
      <c r="J70" s="5">
        <v>1</v>
      </c>
      <c r="K70" s="5">
        <v>1</v>
      </c>
      <c r="L70" s="6" t="s">
        <v>27</v>
      </c>
      <c r="M70" s="6">
        <v>4.9000000000000004</v>
      </c>
      <c r="N70" s="6">
        <v>2.2000000000000002</v>
      </c>
      <c r="O70" s="6">
        <v>5.2</v>
      </c>
      <c r="P70" s="6">
        <v>2.2000000000000002</v>
      </c>
      <c r="Q70" s="6">
        <v>1.35</v>
      </c>
      <c r="R70" s="6"/>
      <c r="S70" s="6">
        <f>SUM(M70:Q70)</f>
        <v>15.85</v>
      </c>
      <c r="T70" s="6">
        <f>COUNTIFS($Y:$Y, Y70, $S:$S, "&gt;"&amp;S70) + 1</f>
        <v>45</v>
      </c>
      <c r="U70" s="6">
        <f>0.85*E70+T70*0.15</f>
        <v>66.25</v>
      </c>
      <c r="V70" s="6">
        <f>100.4-0.4*W70</f>
        <v>72.800000000000011</v>
      </c>
      <c r="W70" s="6">
        <f>COUNTIFS($Y:$Y, Y70, $U:$U, "&lt;"&amp;U70) + 1</f>
        <v>69</v>
      </c>
      <c r="X70" s="5">
        <v>89</v>
      </c>
      <c r="Y70" s="6" t="s">
        <v>155</v>
      </c>
      <c r="Z70" s="10"/>
    </row>
    <row r="71" spans="1:26">
      <c r="A71" s="12">
        <v>194</v>
      </c>
      <c r="B71" s="5">
        <v>1120232210</v>
      </c>
      <c r="C71" s="6" t="s">
        <v>224</v>
      </c>
      <c r="D71" s="6" t="str">
        <f>VLOOKUP([1]成绩单!B68,[1]Sheet1!$A:$K,4,0)</f>
        <v>精工2310</v>
      </c>
      <c r="E71" s="5">
        <v>67</v>
      </c>
      <c r="F71" s="7">
        <v>0.75280899999999995</v>
      </c>
      <c r="G71" s="8">
        <v>78.468800000000002</v>
      </c>
      <c r="H71" s="5">
        <v>60</v>
      </c>
      <c r="I71" s="5">
        <v>136</v>
      </c>
      <c r="J71" s="5">
        <v>1</v>
      </c>
      <c r="K71" s="5">
        <v>1</v>
      </c>
      <c r="L71" s="6" t="s">
        <v>27</v>
      </c>
      <c r="M71" s="6">
        <v>0</v>
      </c>
      <c r="N71" s="6">
        <v>1.2</v>
      </c>
      <c r="O71" s="6">
        <v>0</v>
      </c>
      <c r="P71" s="6">
        <v>2.2000000000000002</v>
      </c>
      <c r="Q71" s="6">
        <v>2.5</v>
      </c>
      <c r="R71" s="6"/>
      <c r="S71" s="6">
        <f>SUM(M71:Q71)</f>
        <v>5.9</v>
      </c>
      <c r="T71" s="6">
        <f>COUNTIFS($Y:$Y, Y71, $S:$S, "&gt;"&amp;S71) + 1</f>
        <v>70</v>
      </c>
      <c r="U71" s="6">
        <f>0.85*E71+T71*0.15</f>
        <v>67.449999999999989</v>
      </c>
      <c r="V71" s="6">
        <f>100.4-0.4*W71</f>
        <v>72.400000000000006</v>
      </c>
      <c r="W71" s="6">
        <f>COUNTIFS($Y:$Y, Y71, $U:$U, "&lt;"&amp;U71) + 1</f>
        <v>70</v>
      </c>
      <c r="X71" s="5">
        <v>89</v>
      </c>
      <c r="Y71" s="6" t="s">
        <v>155</v>
      </c>
      <c r="Z71" s="10"/>
    </row>
    <row r="72" spans="1:26">
      <c r="A72" s="5">
        <v>195</v>
      </c>
      <c r="B72" s="5">
        <v>1120232501</v>
      </c>
      <c r="C72" s="6" t="s">
        <v>225</v>
      </c>
      <c r="D72" s="6" t="str">
        <f>VLOOKUP([1]成绩单!B76,[1]Sheet1!$A:$K,4,0)</f>
        <v>精工2311</v>
      </c>
      <c r="E72" s="5">
        <v>75</v>
      </c>
      <c r="F72" s="7">
        <v>0.84269700000000003</v>
      </c>
      <c r="G72" s="8">
        <v>76.237099999999998</v>
      </c>
      <c r="H72" s="5">
        <v>62</v>
      </c>
      <c r="I72" s="5">
        <v>136</v>
      </c>
      <c r="J72" s="5">
        <v>2</v>
      </c>
      <c r="K72" s="5">
        <v>1</v>
      </c>
      <c r="L72" s="6" t="s">
        <v>27</v>
      </c>
      <c r="M72" s="6">
        <v>2.4</v>
      </c>
      <c r="N72" s="6">
        <v>3.5</v>
      </c>
      <c r="O72" s="6">
        <v>4.5</v>
      </c>
      <c r="P72" s="6">
        <v>4</v>
      </c>
      <c r="Q72" s="6">
        <v>8.4</v>
      </c>
      <c r="R72" s="6"/>
      <c r="S72" s="6">
        <f>SUM(M72:Q72)</f>
        <v>22.8</v>
      </c>
      <c r="T72" s="6">
        <f>COUNTIFS($Y:$Y, Y72, $S:$S, "&gt;"&amp;S72) + 1</f>
        <v>28</v>
      </c>
      <c r="U72" s="6">
        <f>0.85*E72+T72*0.15</f>
        <v>67.95</v>
      </c>
      <c r="V72" s="6">
        <f>100.4-0.4*W72</f>
        <v>72</v>
      </c>
      <c r="W72" s="6">
        <f>COUNTIFS($Y:$Y, Y72, $U:$U, "&lt;"&amp;U72) + 1</f>
        <v>71</v>
      </c>
      <c r="X72" s="5">
        <v>89</v>
      </c>
      <c r="Y72" s="6" t="s">
        <v>155</v>
      </c>
      <c r="Z72" s="10"/>
    </row>
    <row r="73" spans="1:26">
      <c r="A73" s="12">
        <v>196</v>
      </c>
      <c r="B73" s="5">
        <v>1120230975</v>
      </c>
      <c r="C73" s="6" t="s">
        <v>226</v>
      </c>
      <c r="D73" s="6" t="str">
        <f>VLOOKUP([1]成绩单!B72,[1]Sheet1!$A:$K,4,0)</f>
        <v>精工2311</v>
      </c>
      <c r="E73" s="5">
        <v>71</v>
      </c>
      <c r="F73" s="7">
        <v>0.79775300000000005</v>
      </c>
      <c r="G73" s="8">
        <v>77.380499999999998</v>
      </c>
      <c r="H73" s="5">
        <v>60</v>
      </c>
      <c r="I73" s="5">
        <v>136</v>
      </c>
      <c r="J73" s="5">
        <v>1</v>
      </c>
      <c r="K73" s="5">
        <v>0</v>
      </c>
      <c r="L73" s="6" t="s">
        <v>27</v>
      </c>
      <c r="M73" s="6">
        <v>1.9</v>
      </c>
      <c r="N73" s="6">
        <v>0.7</v>
      </c>
      <c r="O73" s="6">
        <v>3.2</v>
      </c>
      <c r="P73" s="6">
        <v>0.2</v>
      </c>
      <c r="Q73" s="6">
        <v>2.9</v>
      </c>
      <c r="R73" s="6"/>
      <c r="S73" s="6">
        <f>SUM(M73:Q73)</f>
        <v>8.9</v>
      </c>
      <c r="T73" s="6">
        <f>COUNTIFS($Y:$Y, Y73, $S:$S, "&gt;"&amp;S73) + 1</f>
        <v>58</v>
      </c>
      <c r="U73" s="6">
        <f>0.85*E73+T73*0.15</f>
        <v>69.05</v>
      </c>
      <c r="V73" s="6">
        <f>100.4-0.4*W73</f>
        <v>71.600000000000009</v>
      </c>
      <c r="W73" s="6">
        <f>COUNTIFS($Y:$Y, Y73, $U:$U, "&lt;"&amp;U73) + 1</f>
        <v>72</v>
      </c>
      <c r="X73" s="5">
        <v>89</v>
      </c>
      <c r="Y73" s="6" t="s">
        <v>155</v>
      </c>
      <c r="Z73" s="10"/>
    </row>
    <row r="74" spans="1:26">
      <c r="A74" s="5">
        <v>197</v>
      </c>
      <c r="B74" s="5">
        <v>1120231004</v>
      </c>
      <c r="C74" s="6" t="s">
        <v>227</v>
      </c>
      <c r="D74" s="6" t="str">
        <f>VLOOKUP([1]成绩单!B73,[1]Sheet1!$A:$K,4,0)</f>
        <v>精工2312</v>
      </c>
      <c r="E74" s="5">
        <v>72</v>
      </c>
      <c r="F74" s="7">
        <v>0.80898899999999996</v>
      </c>
      <c r="G74" s="8">
        <v>77.157600000000002</v>
      </c>
      <c r="H74" s="5">
        <v>61</v>
      </c>
      <c r="I74" s="5">
        <v>138</v>
      </c>
      <c r="J74" s="5">
        <v>2</v>
      </c>
      <c r="K74" s="5">
        <v>1</v>
      </c>
      <c r="L74" s="6" t="s">
        <v>27</v>
      </c>
      <c r="M74" s="6">
        <v>1</v>
      </c>
      <c r="N74" s="6">
        <v>0</v>
      </c>
      <c r="O74" s="6">
        <v>2.2000000000000002</v>
      </c>
      <c r="P74" s="6">
        <v>0</v>
      </c>
      <c r="Q74" s="6">
        <v>0</v>
      </c>
      <c r="R74" s="6"/>
      <c r="S74" s="6">
        <f>SUM(M74:Q74)</f>
        <v>3.2</v>
      </c>
      <c r="T74" s="6">
        <f>COUNTIFS($Y:$Y, Y74, $S:$S, "&gt;"&amp;S74) + 1</f>
        <v>77</v>
      </c>
      <c r="U74" s="6">
        <f>0.85*E74+T74*0.15</f>
        <v>72.75</v>
      </c>
      <c r="V74" s="6">
        <f>100.4-0.4*W74</f>
        <v>71.2</v>
      </c>
      <c r="W74" s="6">
        <f>COUNTIFS($Y:$Y, Y74, $U:$U, "&lt;"&amp;U74) + 1</f>
        <v>73</v>
      </c>
      <c r="X74" s="5">
        <v>89</v>
      </c>
      <c r="Y74" s="6" t="s">
        <v>155</v>
      </c>
      <c r="Z74" s="10"/>
    </row>
    <row r="75" spans="1:26">
      <c r="A75" s="12">
        <v>198</v>
      </c>
      <c r="B75" s="5">
        <v>1120232881</v>
      </c>
      <c r="C75" s="6" t="s">
        <v>228</v>
      </c>
      <c r="D75" s="6" t="str">
        <f>VLOOKUP([1]成绩单!B79,[1]Sheet1!$A:$K,4,0)</f>
        <v>精工2313</v>
      </c>
      <c r="E75" s="5">
        <v>78</v>
      </c>
      <c r="F75" s="7">
        <v>0.87640399999999996</v>
      </c>
      <c r="G75" s="8">
        <v>75.465100000000007</v>
      </c>
      <c r="H75" s="5">
        <v>60</v>
      </c>
      <c r="I75" s="5">
        <v>136</v>
      </c>
      <c r="J75" s="5">
        <v>2</v>
      </c>
      <c r="K75" s="5">
        <v>1</v>
      </c>
      <c r="L75" s="6" t="s">
        <v>27</v>
      </c>
      <c r="M75" s="6">
        <v>0.45</v>
      </c>
      <c r="N75" s="6">
        <v>2</v>
      </c>
      <c r="O75" s="6">
        <v>3.1</v>
      </c>
      <c r="P75" s="6">
        <v>4.75</v>
      </c>
      <c r="Q75" s="6">
        <v>0.5</v>
      </c>
      <c r="R75" s="6"/>
      <c r="S75" s="6">
        <f>SUM(M75:Q75)</f>
        <v>10.8</v>
      </c>
      <c r="T75" s="6">
        <f>COUNTIFS($Y:$Y, Y75, $S:$S, "&gt;"&amp;S75) + 1</f>
        <v>51</v>
      </c>
      <c r="U75" s="6">
        <f>0.85*E75+T75*0.15</f>
        <v>73.95</v>
      </c>
      <c r="V75" s="6">
        <f>100.4-0.4*W75</f>
        <v>70.800000000000011</v>
      </c>
      <c r="W75" s="6">
        <f>COUNTIFS($Y:$Y, Y75, $U:$U, "&lt;"&amp;U75) + 1</f>
        <v>74</v>
      </c>
      <c r="X75" s="5">
        <v>89</v>
      </c>
      <c r="Y75" s="6" t="s">
        <v>155</v>
      </c>
      <c r="Z75" s="10"/>
    </row>
    <row r="76" spans="1:26">
      <c r="A76" s="5">
        <v>199</v>
      </c>
      <c r="B76" s="5">
        <v>1120232214</v>
      </c>
      <c r="C76" s="6" t="s">
        <v>229</v>
      </c>
      <c r="D76" s="6" t="str">
        <f>VLOOKUP([1]成绩单!B74,[1]Sheet1!$A:$K,4,0)</f>
        <v>精工2311</v>
      </c>
      <c r="E76" s="5">
        <v>73</v>
      </c>
      <c r="F76" s="7">
        <v>0.82022499999999998</v>
      </c>
      <c r="G76" s="8">
        <v>77.0625</v>
      </c>
      <c r="H76" s="5">
        <v>61</v>
      </c>
      <c r="I76" s="5">
        <v>136</v>
      </c>
      <c r="J76" s="5">
        <v>1</v>
      </c>
      <c r="K76" s="5">
        <v>1</v>
      </c>
      <c r="L76" s="6" t="s">
        <v>27</v>
      </c>
      <c r="M76" s="6">
        <v>1.2</v>
      </c>
      <c r="N76" s="6">
        <v>0</v>
      </c>
      <c r="O76" s="6">
        <v>0.65</v>
      </c>
      <c r="P76" s="6">
        <v>0</v>
      </c>
      <c r="Q76" s="6">
        <v>0</v>
      </c>
      <c r="R76" s="6"/>
      <c r="S76" s="6">
        <f>SUM(M76:Q76)</f>
        <v>1.85</v>
      </c>
      <c r="T76" s="6">
        <f>COUNTIFS($Y:$Y, Y76, $S:$S, "&gt;"&amp;S76) + 1</f>
        <v>82</v>
      </c>
      <c r="U76" s="6">
        <f>0.85*E76+T76*0.15</f>
        <v>74.349999999999994</v>
      </c>
      <c r="V76" s="6">
        <f>100.4-0.4*W76</f>
        <v>70.400000000000006</v>
      </c>
      <c r="W76" s="6">
        <f>COUNTIFS($Y:$Y, Y76, $U:$U, "&lt;"&amp;U76) + 1</f>
        <v>75</v>
      </c>
      <c r="X76" s="5">
        <v>89</v>
      </c>
      <c r="Y76" s="6" t="s">
        <v>155</v>
      </c>
      <c r="Z76" s="10"/>
    </row>
    <row r="77" spans="1:26">
      <c r="A77" s="12">
        <v>200</v>
      </c>
      <c r="B77" s="5">
        <v>1120233026</v>
      </c>
      <c r="C77" s="6" t="s">
        <v>230</v>
      </c>
      <c r="D77" s="6" t="str">
        <f>VLOOKUP([1]成绩单!B75,[1]Sheet1!$A:$K,4,0)</f>
        <v>精工2313</v>
      </c>
      <c r="E77" s="5">
        <v>74</v>
      </c>
      <c r="F77" s="7">
        <v>0.83146100000000001</v>
      </c>
      <c r="G77" s="8">
        <v>76.2684</v>
      </c>
      <c r="H77" s="5">
        <v>60</v>
      </c>
      <c r="I77" s="5">
        <v>136</v>
      </c>
      <c r="J77" s="5">
        <v>0</v>
      </c>
      <c r="K77" s="5">
        <v>0</v>
      </c>
      <c r="L77" s="6" t="s">
        <v>27</v>
      </c>
      <c r="M77" s="6">
        <v>0.75</v>
      </c>
      <c r="N77" s="6">
        <v>1.1499999999999999</v>
      </c>
      <c r="O77" s="6">
        <v>0</v>
      </c>
      <c r="P77" s="6">
        <v>-0.5</v>
      </c>
      <c r="Q77" s="6">
        <v>0.5</v>
      </c>
      <c r="R77" s="6"/>
      <c r="S77" s="6">
        <f>SUM(M77:Q77)</f>
        <v>1.9</v>
      </c>
      <c r="T77" s="6">
        <f>COUNTIFS($Y:$Y, Y77, $S:$S, "&gt;"&amp;S77) + 1</f>
        <v>81</v>
      </c>
      <c r="U77" s="6">
        <f>0.85*E77+T77*0.15</f>
        <v>75.05</v>
      </c>
      <c r="V77" s="6">
        <f>100.4-0.4*W77</f>
        <v>70</v>
      </c>
      <c r="W77" s="6">
        <f>COUNTIFS($Y:$Y, Y77, $U:$U, "&lt;"&amp;U77) + 1</f>
        <v>76</v>
      </c>
      <c r="X77" s="5">
        <v>89</v>
      </c>
      <c r="Y77" s="6" t="s">
        <v>155</v>
      </c>
      <c r="Z77" s="10"/>
    </row>
    <row r="78" spans="1:26">
      <c r="A78" s="5">
        <v>201</v>
      </c>
      <c r="B78" s="5">
        <v>1120231014</v>
      </c>
      <c r="C78" s="6" t="s">
        <v>231</v>
      </c>
      <c r="D78" s="6" t="str">
        <f>VLOOKUP([1]成绩单!B77,[1]Sheet1!$A:$K,4,0)</f>
        <v>精工2310</v>
      </c>
      <c r="E78" s="5">
        <v>76</v>
      </c>
      <c r="F78" s="7">
        <v>0.85393300000000005</v>
      </c>
      <c r="G78" s="8">
        <v>76.2303</v>
      </c>
      <c r="H78" s="5">
        <v>58</v>
      </c>
      <c r="I78" s="9">
        <v>133.5</v>
      </c>
      <c r="J78" s="5">
        <v>1</v>
      </c>
      <c r="K78" s="5">
        <v>0</v>
      </c>
      <c r="L78" s="6" t="s">
        <v>27</v>
      </c>
      <c r="M78" s="6">
        <v>1.2</v>
      </c>
      <c r="N78" s="6">
        <v>0.6</v>
      </c>
      <c r="O78" s="6">
        <v>0.2</v>
      </c>
      <c r="P78" s="6">
        <v>0.5</v>
      </c>
      <c r="Q78" s="6">
        <v>0.2</v>
      </c>
      <c r="R78" s="6"/>
      <c r="S78" s="6">
        <f>SUM(M78:Q78)</f>
        <v>2.7</v>
      </c>
      <c r="T78" s="6">
        <f>COUNTIFS($Y:$Y, Y78, $S:$S, "&gt;"&amp;S78) + 1</f>
        <v>79</v>
      </c>
      <c r="U78" s="6">
        <f>0.85*E78+T78*0.15</f>
        <v>76.449999999999989</v>
      </c>
      <c r="V78" s="6">
        <f>100.4-0.4*W78</f>
        <v>69.600000000000009</v>
      </c>
      <c r="W78" s="6">
        <f>COUNTIFS($Y:$Y, Y78, $U:$U, "&lt;"&amp;U78) + 1</f>
        <v>77</v>
      </c>
      <c r="X78" s="5">
        <v>89</v>
      </c>
      <c r="Y78" s="6" t="s">
        <v>155</v>
      </c>
      <c r="Z78" s="10"/>
    </row>
    <row r="79" spans="1:26">
      <c r="A79" s="12">
        <v>202</v>
      </c>
      <c r="B79" s="5">
        <v>1120231015</v>
      </c>
      <c r="C79" s="6" t="s">
        <v>232</v>
      </c>
      <c r="D79" s="6" t="str">
        <f>VLOOKUP([1]成绩单!B78,[1]Sheet1!$A:$K,4,0)</f>
        <v>精工2311</v>
      </c>
      <c r="E79" s="5">
        <v>77</v>
      </c>
      <c r="F79" s="7">
        <v>0.86516899999999997</v>
      </c>
      <c r="G79" s="8">
        <v>75.705500000000001</v>
      </c>
      <c r="H79" s="5">
        <v>58</v>
      </c>
      <c r="I79" s="9">
        <v>137.5</v>
      </c>
      <c r="J79" s="5">
        <v>1</v>
      </c>
      <c r="K79" s="5">
        <v>0</v>
      </c>
      <c r="L79" s="6" t="s">
        <v>27</v>
      </c>
      <c r="M79" s="6">
        <v>1</v>
      </c>
      <c r="N79" s="6">
        <v>2</v>
      </c>
      <c r="O79" s="6">
        <v>0.2</v>
      </c>
      <c r="P79" s="6">
        <v>0</v>
      </c>
      <c r="Q79" s="6">
        <v>0</v>
      </c>
      <c r="R79" s="6"/>
      <c r="S79" s="6">
        <f>SUM(M79:Q79)</f>
        <v>3.2</v>
      </c>
      <c r="T79" s="6">
        <f>COUNTIFS($Y:$Y, Y79, $S:$S, "&gt;"&amp;S79) + 1</f>
        <v>77</v>
      </c>
      <c r="U79" s="6">
        <f>0.85*E79+T79*0.15</f>
        <v>77</v>
      </c>
      <c r="V79" s="6">
        <f>100.4-0.4*W79</f>
        <v>69.2</v>
      </c>
      <c r="W79" s="6">
        <f>COUNTIFS($Y:$Y, Y79, $U:$U, "&lt;"&amp;U79) + 1</f>
        <v>78</v>
      </c>
      <c r="X79" s="5">
        <v>89</v>
      </c>
      <c r="Y79" s="6" t="s">
        <v>155</v>
      </c>
      <c r="Z79" s="10"/>
    </row>
    <row r="80" spans="1:26">
      <c r="A80" s="5">
        <v>203</v>
      </c>
      <c r="B80" s="5">
        <v>1120230986</v>
      </c>
      <c r="C80" s="6" t="s">
        <v>233</v>
      </c>
      <c r="D80" s="6" t="str">
        <f>VLOOKUP([1]成绩单!B81,[1]Sheet1!$A:$K,4,0)</f>
        <v>精工2312</v>
      </c>
      <c r="E80" s="5">
        <v>80</v>
      </c>
      <c r="F80" s="7">
        <v>0.89887600000000001</v>
      </c>
      <c r="G80" s="8">
        <v>73.932500000000005</v>
      </c>
      <c r="H80" s="5">
        <v>60</v>
      </c>
      <c r="I80" s="5">
        <v>137</v>
      </c>
      <c r="J80" s="5">
        <v>2</v>
      </c>
      <c r="K80" s="5">
        <v>0</v>
      </c>
      <c r="L80" s="6" t="s">
        <v>27</v>
      </c>
      <c r="M80" s="6">
        <v>2.7</v>
      </c>
      <c r="N80" s="6">
        <v>2.8</v>
      </c>
      <c r="O80" s="6">
        <v>0.3</v>
      </c>
      <c r="P80" s="6">
        <v>0</v>
      </c>
      <c r="Q80" s="6">
        <v>0</v>
      </c>
      <c r="R80" s="6"/>
      <c r="S80" s="6">
        <f>SUM(M80:Q80)</f>
        <v>5.8</v>
      </c>
      <c r="T80" s="6">
        <f>COUNTIFS($Y:$Y, Y80, $S:$S, "&gt;"&amp;S80) + 1</f>
        <v>71</v>
      </c>
      <c r="U80" s="6">
        <f>0.85*E80+T80*0.15</f>
        <v>78.650000000000006</v>
      </c>
      <c r="V80" s="6">
        <f>100.4-0.4*W80</f>
        <v>68.800000000000011</v>
      </c>
      <c r="W80" s="6">
        <f>COUNTIFS($Y:$Y, Y80, $U:$U, "&lt;"&amp;U80) + 1</f>
        <v>79</v>
      </c>
      <c r="X80" s="5">
        <v>89</v>
      </c>
      <c r="Y80" s="6" t="s">
        <v>155</v>
      </c>
      <c r="Z80" s="10"/>
    </row>
    <row r="81" spans="1:26">
      <c r="A81" s="12">
        <v>204</v>
      </c>
      <c r="B81" s="5">
        <v>1120231270</v>
      </c>
      <c r="C81" s="6" t="s">
        <v>234</v>
      </c>
      <c r="D81" s="6" t="str">
        <f>VLOOKUP([1]成绩单!B83,[1]Sheet1!$A:$K,4,0)</f>
        <v>精工2312</v>
      </c>
      <c r="E81" s="5">
        <v>82</v>
      </c>
      <c r="F81" s="7">
        <v>0.92134799999999994</v>
      </c>
      <c r="G81" s="8">
        <v>73.416399999999996</v>
      </c>
      <c r="H81" s="5">
        <v>63</v>
      </c>
      <c r="I81" s="9">
        <v>140.5</v>
      </c>
      <c r="J81" s="5">
        <v>1</v>
      </c>
      <c r="K81" s="5">
        <v>0</v>
      </c>
      <c r="L81" s="6" t="s">
        <v>27</v>
      </c>
      <c r="M81" s="6">
        <v>1</v>
      </c>
      <c r="N81" s="6">
        <v>0</v>
      </c>
      <c r="O81" s="6">
        <v>3</v>
      </c>
      <c r="P81" s="6">
        <v>0.6</v>
      </c>
      <c r="Q81" s="6">
        <v>3.5</v>
      </c>
      <c r="R81" s="6"/>
      <c r="S81" s="6">
        <f>SUM(M81:Q81)</f>
        <v>8.1</v>
      </c>
      <c r="T81" s="6">
        <f>COUNTIFS($Y:$Y, Y81, $S:$S, "&gt;"&amp;S81) + 1</f>
        <v>60</v>
      </c>
      <c r="U81" s="6">
        <f>0.85*E81+T81*0.15</f>
        <v>78.7</v>
      </c>
      <c r="V81" s="6">
        <f>100.4-0.4*W81</f>
        <v>68.400000000000006</v>
      </c>
      <c r="W81" s="6">
        <f>COUNTIFS($Y:$Y, Y81, $U:$U, "&lt;"&amp;U81) + 1</f>
        <v>80</v>
      </c>
      <c r="X81" s="5">
        <v>89</v>
      </c>
      <c r="Y81" s="6" t="s">
        <v>155</v>
      </c>
      <c r="Z81" s="10"/>
    </row>
    <row r="82" spans="1:26">
      <c r="A82" s="5">
        <v>205</v>
      </c>
      <c r="B82" s="5">
        <v>1120230834</v>
      </c>
      <c r="C82" s="6" t="s">
        <v>235</v>
      </c>
      <c r="D82" s="6" t="str">
        <f>VLOOKUP([1]成绩单!B85,[1]Sheet1!$A:$K,4,0)</f>
        <v>精工2312</v>
      </c>
      <c r="E82" s="5">
        <v>84</v>
      </c>
      <c r="F82" s="7">
        <v>0.94381999999999999</v>
      </c>
      <c r="G82" s="8">
        <v>73.198499999999996</v>
      </c>
      <c r="H82" s="5">
        <v>60</v>
      </c>
      <c r="I82" s="5">
        <v>136</v>
      </c>
      <c r="J82" s="5">
        <v>2</v>
      </c>
      <c r="K82" s="5">
        <v>1</v>
      </c>
      <c r="L82" s="6" t="s">
        <v>27</v>
      </c>
      <c r="M82" s="6">
        <v>2.1</v>
      </c>
      <c r="N82" s="6">
        <v>3.1</v>
      </c>
      <c r="O82" s="6">
        <v>4.9000000000000004</v>
      </c>
      <c r="P82" s="6">
        <v>0.7</v>
      </c>
      <c r="Q82" s="6">
        <v>0</v>
      </c>
      <c r="R82" s="6"/>
      <c r="S82" s="6">
        <f>SUM(M82:Q82)</f>
        <v>10.8</v>
      </c>
      <c r="T82" s="6">
        <f>COUNTIFS($Y:$Y, Y82, $S:$S, "&gt;"&amp;S82) + 1</f>
        <v>51</v>
      </c>
      <c r="U82" s="6">
        <f>0.85*E82+T82*0.15</f>
        <v>79.05</v>
      </c>
      <c r="V82" s="6">
        <f>100.4-0.4*W82</f>
        <v>68</v>
      </c>
      <c r="W82" s="6">
        <f>COUNTIFS($Y:$Y, Y82, $U:$U, "&lt;"&amp;U82) + 1</f>
        <v>81</v>
      </c>
      <c r="X82" s="5">
        <v>89</v>
      </c>
      <c r="Y82" s="6" t="s">
        <v>155</v>
      </c>
      <c r="Z82" s="10"/>
    </row>
    <row r="83" spans="1:26">
      <c r="A83" s="12">
        <v>206</v>
      </c>
      <c r="B83" s="5">
        <v>1120233570</v>
      </c>
      <c r="C83" s="6" t="s">
        <v>236</v>
      </c>
      <c r="D83" s="6" t="str">
        <f>VLOOKUP([1]成绩单!B80,[1]Sheet1!$A:$K,4,0)</f>
        <v>精工2311</v>
      </c>
      <c r="E83" s="5">
        <v>79</v>
      </c>
      <c r="F83" s="7">
        <v>0.88763999999999998</v>
      </c>
      <c r="G83" s="8">
        <v>74.487499999999997</v>
      </c>
      <c r="H83" s="5">
        <v>62</v>
      </c>
      <c r="I83" s="5">
        <v>140</v>
      </c>
      <c r="J83" s="5">
        <v>1</v>
      </c>
      <c r="K83" s="5">
        <v>1</v>
      </c>
      <c r="L83" s="6" t="s">
        <v>27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/>
      <c r="S83" s="6">
        <f>SUM(M83:Q83)</f>
        <v>0</v>
      </c>
      <c r="T83" s="6">
        <f>COUNTIFS($Y:$Y, Y83, $S:$S, "&gt;"&amp;S83) + 1</f>
        <v>84</v>
      </c>
      <c r="U83" s="6">
        <f>0.85*E83+T83*0.15</f>
        <v>79.749999999999986</v>
      </c>
      <c r="V83" s="6">
        <f>100.4-0.4*W83</f>
        <v>67.599999999999994</v>
      </c>
      <c r="W83" s="6">
        <f>COUNTIFS($Y:$Y, Y83, $U:$U, "&lt;"&amp;U83) + 1</f>
        <v>82</v>
      </c>
      <c r="X83" s="5">
        <v>89</v>
      </c>
      <c r="Y83" s="6" t="s">
        <v>155</v>
      </c>
      <c r="Z83" s="10"/>
    </row>
    <row r="84" spans="1:26" ht="14.65">
      <c r="A84" s="5">
        <v>207</v>
      </c>
      <c r="B84" s="5">
        <v>1120233701</v>
      </c>
      <c r="C84" s="6" t="s">
        <v>237</v>
      </c>
      <c r="D84" s="6" t="str">
        <f>VLOOKUP([1]成绩单!B84,[1]Sheet1!$A:$K,4,0)</f>
        <v>精工2313</v>
      </c>
      <c r="E84" s="5">
        <v>83</v>
      </c>
      <c r="F84" s="7">
        <v>0.93258399999999997</v>
      </c>
      <c r="G84" s="8">
        <v>73.321700000000007</v>
      </c>
      <c r="H84" s="5">
        <v>60</v>
      </c>
      <c r="I84" s="5">
        <v>136</v>
      </c>
      <c r="J84" s="5">
        <v>2</v>
      </c>
      <c r="K84" s="5">
        <v>1</v>
      </c>
      <c r="L84" s="6" t="s">
        <v>27</v>
      </c>
      <c r="M84" s="6">
        <v>3.2</v>
      </c>
      <c r="N84" s="6">
        <v>4.9000000000000004</v>
      </c>
      <c r="O84" s="6">
        <v>0</v>
      </c>
      <c r="P84" s="6">
        <v>-1.5</v>
      </c>
      <c r="Q84" s="6">
        <v>0</v>
      </c>
      <c r="R84" s="6"/>
      <c r="S84" s="6">
        <f>SUM(M84:Q84)</f>
        <v>6.6000000000000014</v>
      </c>
      <c r="T84" s="6">
        <f>COUNTIFS($Y:$Y, Y84, $S:$S, "&gt;"&amp;S84) + 1</f>
        <v>66</v>
      </c>
      <c r="U84" s="6">
        <f>0.85*E84+T84*0.15</f>
        <v>80.45</v>
      </c>
      <c r="V84" s="6">
        <f>100.4-0.4*W84</f>
        <v>67.2</v>
      </c>
      <c r="W84" s="6">
        <f>COUNTIFS($Y:$Y, Y84, $U:$U, "&lt;"&amp;U84) + 1</f>
        <v>83</v>
      </c>
      <c r="X84" s="5">
        <v>89</v>
      </c>
      <c r="Y84" s="6" t="s">
        <v>155</v>
      </c>
      <c r="Z84" s="10"/>
    </row>
    <row r="85" spans="1:26">
      <c r="A85" s="12">
        <v>208</v>
      </c>
      <c r="B85" s="5">
        <v>1120232201</v>
      </c>
      <c r="C85" s="6" t="s">
        <v>238</v>
      </c>
      <c r="D85" s="6" t="str">
        <f>VLOOKUP([1]成绩单!B82,[1]Sheet1!$A:$K,4,0)</f>
        <v>精工2311</v>
      </c>
      <c r="E85" s="5">
        <v>81</v>
      </c>
      <c r="F85" s="7">
        <v>0.91011200000000003</v>
      </c>
      <c r="G85" s="8">
        <v>73.558800000000005</v>
      </c>
      <c r="H85" s="5">
        <v>60</v>
      </c>
      <c r="I85" s="5">
        <v>136</v>
      </c>
      <c r="J85" s="5">
        <v>2</v>
      </c>
      <c r="K85" s="5">
        <v>2</v>
      </c>
      <c r="L85" s="6" t="s">
        <v>27</v>
      </c>
      <c r="M85" s="6">
        <v>0</v>
      </c>
      <c r="N85" s="6">
        <v>-0.25</v>
      </c>
      <c r="O85" s="6">
        <v>3</v>
      </c>
      <c r="P85" s="6">
        <v>-0.5</v>
      </c>
      <c r="Q85" s="6">
        <v>0</v>
      </c>
      <c r="R85" s="6"/>
      <c r="S85" s="6">
        <f>SUM(M85:Q85)</f>
        <v>2.25</v>
      </c>
      <c r="T85" s="6">
        <f>COUNTIFS($Y:$Y, Y85, $S:$S, "&gt;"&amp;S85) + 1</f>
        <v>80</v>
      </c>
      <c r="U85" s="6">
        <f>0.85*E85+T85*0.15</f>
        <v>80.849999999999994</v>
      </c>
      <c r="V85" s="6">
        <f>100.4-0.4*W85</f>
        <v>66.800000000000011</v>
      </c>
      <c r="W85" s="6">
        <f>COUNTIFS($Y:$Y, Y85, $U:$U, "&lt;"&amp;U85) + 1</f>
        <v>84</v>
      </c>
      <c r="X85" s="5">
        <v>89</v>
      </c>
      <c r="Y85" s="6" t="s">
        <v>155</v>
      </c>
      <c r="Z85" s="10"/>
    </row>
    <row r="86" spans="1:26">
      <c r="A86" s="5">
        <v>209</v>
      </c>
      <c r="B86" s="5">
        <v>1120232504</v>
      </c>
      <c r="C86" s="6" t="s">
        <v>239</v>
      </c>
      <c r="D86" s="6" t="str">
        <f>VLOOKUP([1]成绩单!B89,[1]Sheet1!$A:$K,4,0)</f>
        <v>精工2310</v>
      </c>
      <c r="E86" s="5">
        <v>88</v>
      </c>
      <c r="F86" s="7">
        <v>0.98876399999999998</v>
      </c>
      <c r="G86" s="8">
        <v>66.210400000000007</v>
      </c>
      <c r="H86" s="5">
        <v>62</v>
      </c>
      <c r="I86" s="5">
        <v>139</v>
      </c>
      <c r="J86" s="5">
        <v>7</v>
      </c>
      <c r="K86" s="5">
        <v>4</v>
      </c>
      <c r="L86" s="6" t="s">
        <v>27</v>
      </c>
      <c r="M86" s="6">
        <v>2.5</v>
      </c>
      <c r="N86" s="6">
        <v>3</v>
      </c>
      <c r="O86" s="6">
        <v>2.5</v>
      </c>
      <c r="P86" s="6">
        <v>1.8</v>
      </c>
      <c r="Q86" s="6">
        <v>2.25</v>
      </c>
      <c r="R86" s="6"/>
      <c r="S86" s="6">
        <f>SUM(M86:Q86)</f>
        <v>12.05</v>
      </c>
      <c r="T86" s="6">
        <f>COUNTIFS($Y:$Y, Y86, $S:$S, "&gt;"&amp;S86) + 1</f>
        <v>50</v>
      </c>
      <c r="U86" s="6">
        <f>0.85*E86+T86*0.15</f>
        <v>82.3</v>
      </c>
      <c r="V86" s="6">
        <f>100.4-0.4*W86</f>
        <v>66.400000000000006</v>
      </c>
      <c r="W86" s="6">
        <f>COUNTIFS($Y:$Y, Y86, $U:$U, "&lt;"&amp;U86) + 1</f>
        <v>85</v>
      </c>
      <c r="X86" s="5">
        <v>89</v>
      </c>
      <c r="Y86" s="6" t="s">
        <v>155</v>
      </c>
      <c r="Z86" s="10"/>
    </row>
    <row r="87" spans="1:26">
      <c r="A87" s="12">
        <v>210</v>
      </c>
      <c r="B87" s="5">
        <v>1120231449</v>
      </c>
      <c r="C87" s="6" t="s">
        <v>240</v>
      </c>
      <c r="D87" s="6" t="str">
        <f>VLOOKUP([1]成绩单!B88,[1]Sheet1!$A:$K,4,0)</f>
        <v>精工2312</v>
      </c>
      <c r="E87" s="5">
        <v>87</v>
      </c>
      <c r="F87" s="7">
        <v>0.97752799999999995</v>
      </c>
      <c r="G87" s="8">
        <v>66.663600000000002</v>
      </c>
      <c r="H87" s="5">
        <v>60</v>
      </c>
      <c r="I87" s="5">
        <v>136</v>
      </c>
      <c r="J87" s="5">
        <v>6</v>
      </c>
      <c r="K87" s="5">
        <v>5</v>
      </c>
      <c r="L87" s="6" t="s">
        <v>27</v>
      </c>
      <c r="M87" s="6">
        <v>3</v>
      </c>
      <c r="N87" s="6">
        <v>2</v>
      </c>
      <c r="O87" s="6">
        <v>2.5</v>
      </c>
      <c r="P87" s="6">
        <v>1</v>
      </c>
      <c r="Q87" s="6">
        <v>0</v>
      </c>
      <c r="R87" s="6"/>
      <c r="S87" s="6">
        <f>SUM(M87:Q87)</f>
        <v>8.5</v>
      </c>
      <c r="T87" s="6">
        <f>COUNTIFS($Y:$Y, Y87, $S:$S, "&gt;"&amp;S87) + 1</f>
        <v>59</v>
      </c>
      <c r="U87" s="6">
        <f>0.85*E87+T87*0.15</f>
        <v>82.8</v>
      </c>
      <c r="V87" s="6">
        <f>100.4-0.4*W87</f>
        <v>66</v>
      </c>
      <c r="W87" s="6">
        <f>COUNTIFS($Y:$Y, Y87, $U:$U, "&lt;"&amp;U87) + 1</f>
        <v>86</v>
      </c>
      <c r="X87" s="5">
        <v>89</v>
      </c>
      <c r="Y87" s="6" t="s">
        <v>155</v>
      </c>
      <c r="Z87" s="10"/>
    </row>
    <row r="88" spans="1:26">
      <c r="A88" s="5">
        <v>211</v>
      </c>
      <c r="B88" s="5">
        <v>1120232718</v>
      </c>
      <c r="C88" s="6" t="s">
        <v>241</v>
      </c>
      <c r="D88" s="6" t="str">
        <f>VLOOKUP([1]成绩单!B86,[1]Sheet1!$A:$K,4,0)</f>
        <v>精工2313</v>
      </c>
      <c r="E88" s="5">
        <v>85</v>
      </c>
      <c r="F88" s="7">
        <v>0.95505600000000002</v>
      </c>
      <c r="G88" s="8">
        <v>70.255799999999994</v>
      </c>
      <c r="H88" s="5">
        <v>55</v>
      </c>
      <c r="I88" s="5">
        <v>130</v>
      </c>
      <c r="J88" s="5">
        <v>4</v>
      </c>
      <c r="K88" s="5">
        <v>1</v>
      </c>
      <c r="L88" s="6" t="s">
        <v>27</v>
      </c>
      <c r="M88" s="6">
        <v>0</v>
      </c>
      <c r="N88" s="6">
        <v>-1.5</v>
      </c>
      <c r="O88" s="6">
        <v>0</v>
      </c>
      <c r="P88" s="6">
        <v>-1.5</v>
      </c>
      <c r="Q88" s="6">
        <v>0</v>
      </c>
      <c r="R88" s="6"/>
      <c r="S88" s="6">
        <f>SUM(M88:Q88)</f>
        <v>-3</v>
      </c>
      <c r="T88" s="6">
        <f>COUNTIFS($Y:$Y, Y88, $S:$S, "&gt;"&amp;S88) + 1</f>
        <v>89</v>
      </c>
      <c r="U88" s="6">
        <f>0.85*E88+T88*0.15</f>
        <v>85.6</v>
      </c>
      <c r="V88" s="6">
        <f>100.4-0.4*W88</f>
        <v>65.599999999999994</v>
      </c>
      <c r="W88" s="6">
        <f>COUNTIFS($Y:$Y, Y88, $U:$U, "&lt;"&amp;U88) + 1</f>
        <v>87</v>
      </c>
      <c r="X88" s="5">
        <v>89</v>
      </c>
      <c r="Y88" s="6" t="s">
        <v>155</v>
      </c>
      <c r="Z88" s="10"/>
    </row>
    <row r="89" spans="1:26">
      <c r="A89" s="12">
        <v>212</v>
      </c>
      <c r="B89" s="5">
        <v>1120232216</v>
      </c>
      <c r="C89" s="6" t="s">
        <v>242</v>
      </c>
      <c r="D89" s="6" t="str">
        <f>VLOOKUP([1]成绩单!B90,[1]Sheet1!$A:$K,4,0)</f>
        <v>精工2312</v>
      </c>
      <c r="E89" s="5">
        <v>89</v>
      </c>
      <c r="F89" s="7">
        <v>1</v>
      </c>
      <c r="G89" s="8">
        <v>65.987300000000005</v>
      </c>
      <c r="H89" s="5">
        <v>62</v>
      </c>
      <c r="I89" s="5">
        <v>138</v>
      </c>
      <c r="J89" s="5">
        <v>7</v>
      </c>
      <c r="K89" s="5">
        <v>2</v>
      </c>
      <c r="L89" s="6" t="s">
        <v>27</v>
      </c>
      <c r="M89" s="6">
        <v>2.2000000000000002</v>
      </c>
      <c r="N89" s="6">
        <v>0.75</v>
      </c>
      <c r="O89" s="6">
        <v>1.8</v>
      </c>
      <c r="P89" s="6">
        <v>1.5</v>
      </c>
      <c r="Q89" s="6">
        <v>0</v>
      </c>
      <c r="R89" s="6"/>
      <c r="S89" s="6">
        <f>SUM(M89:Q89)</f>
        <v>6.25</v>
      </c>
      <c r="T89" s="6">
        <f>COUNTIFS($Y:$Y, Y89, $S:$S, "&gt;"&amp;S89) + 1</f>
        <v>69</v>
      </c>
      <c r="U89" s="6">
        <f>0.85*E89+T89*0.15</f>
        <v>85.999999999999986</v>
      </c>
      <c r="V89" s="6">
        <f>100.4-0.4*W89</f>
        <v>65.2</v>
      </c>
      <c r="W89" s="6">
        <f>COUNTIFS($Y:$Y, Y89, $U:$U, "&lt;"&amp;U89) + 1</f>
        <v>88</v>
      </c>
      <c r="X89" s="5">
        <v>89</v>
      </c>
      <c r="Y89" s="6" t="s">
        <v>155</v>
      </c>
      <c r="Z89" s="10"/>
    </row>
    <row r="90" spans="1:26">
      <c r="A90" s="5">
        <v>213</v>
      </c>
      <c r="B90" s="5">
        <v>1120230995</v>
      </c>
      <c r="C90" s="6" t="s">
        <v>243</v>
      </c>
      <c r="D90" s="6" t="str">
        <f>VLOOKUP([1]成绩单!B87,[1]Sheet1!$A:$K,4,0)</f>
        <v>精工2313</v>
      </c>
      <c r="E90" s="5">
        <v>86</v>
      </c>
      <c r="F90" s="7">
        <v>0.96629200000000004</v>
      </c>
      <c r="G90" s="8">
        <v>70.036799999999999</v>
      </c>
      <c r="H90" s="5">
        <v>60</v>
      </c>
      <c r="I90" s="5">
        <v>136</v>
      </c>
      <c r="J90" s="5">
        <v>3</v>
      </c>
      <c r="K90" s="5">
        <v>2</v>
      </c>
      <c r="L90" s="6" t="s">
        <v>27</v>
      </c>
      <c r="M90" s="6">
        <v>0</v>
      </c>
      <c r="N90" s="6">
        <v>0</v>
      </c>
      <c r="O90" s="6">
        <v>0</v>
      </c>
      <c r="P90" s="6">
        <v>-1.5</v>
      </c>
      <c r="Q90" s="6">
        <v>0</v>
      </c>
      <c r="R90" s="6"/>
      <c r="S90" s="6">
        <f>SUM(M90:Q90)</f>
        <v>-1.5</v>
      </c>
      <c r="T90" s="6">
        <f>COUNTIFS($Y:$Y, Y90, $S:$S, "&gt;"&amp;S90) + 1</f>
        <v>88</v>
      </c>
      <c r="U90" s="6">
        <f>0.85*E90+T90*0.15</f>
        <v>86.3</v>
      </c>
      <c r="V90" s="6">
        <f>100.4-0.4*W90</f>
        <v>64.800000000000011</v>
      </c>
      <c r="W90" s="6">
        <f>COUNTIFS($Y:$Y, Y90, $U:$U, "&lt;"&amp;U90) + 1</f>
        <v>89</v>
      </c>
      <c r="X90" s="5">
        <v>89</v>
      </c>
      <c r="Y90" s="6" t="s">
        <v>155</v>
      </c>
      <c r="Z90" s="10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45EE-4B6D-4B37-AF0F-2700A392AB6A}">
  <dimension ref="A1:Z65"/>
  <sheetViews>
    <sheetView workbookViewId="0">
      <selection activeCell="E15" sqref="E15:W15"/>
    </sheetView>
  </sheetViews>
  <sheetFormatPr defaultRowHeight="13.9"/>
  <sheetData>
    <row r="1" spans="1:26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spans="1:26">
      <c r="A2" s="5">
        <v>227</v>
      </c>
      <c r="B2" s="5">
        <v>1120232224</v>
      </c>
      <c r="C2" s="6" t="s">
        <v>244</v>
      </c>
      <c r="D2" s="6" t="str">
        <f>VLOOKUP([1]成绩单!B3,[1]Sheet1!$A:$K,4,0)</f>
        <v>精工2311</v>
      </c>
      <c r="E2" s="5">
        <v>2</v>
      </c>
      <c r="F2" s="7">
        <v>3.125E-2</v>
      </c>
      <c r="G2" s="8">
        <v>90.392099999999999</v>
      </c>
      <c r="H2" s="5">
        <v>61</v>
      </c>
      <c r="I2" s="5">
        <v>139</v>
      </c>
      <c r="J2" s="5">
        <v>0</v>
      </c>
      <c r="K2" s="5">
        <v>0</v>
      </c>
      <c r="L2" s="6" t="s">
        <v>27</v>
      </c>
      <c r="M2" s="6">
        <v>1.95</v>
      </c>
      <c r="N2" s="6">
        <v>1</v>
      </c>
      <c r="O2" s="6">
        <v>5</v>
      </c>
      <c r="P2" s="6">
        <v>7.2</v>
      </c>
      <c r="Q2" s="6">
        <v>9.8000000000000007</v>
      </c>
      <c r="R2" s="6"/>
      <c r="S2" s="6">
        <f>SUM(M2:Q2)</f>
        <v>24.950000000000003</v>
      </c>
      <c r="T2" s="6">
        <f>COUNTIFS($Y:$Y, Y2, $S:$S, "&gt;"&amp;S2) + 1</f>
        <v>11</v>
      </c>
      <c r="U2" s="6">
        <f>0.85*E2+T2*0.15</f>
        <v>3.3499999999999996</v>
      </c>
      <c r="V2" s="6">
        <f>100.4-0.4*W2</f>
        <v>100</v>
      </c>
      <c r="W2" s="6">
        <f>COUNTIFS($Y:$Y, Y2, $U:$U, "&lt;"&amp;U2) + 1</f>
        <v>1</v>
      </c>
      <c r="X2" s="5">
        <v>64</v>
      </c>
      <c r="Y2" s="6" t="s">
        <v>245</v>
      </c>
      <c r="Z2" s="10"/>
    </row>
    <row r="3" spans="1:26">
      <c r="A3" s="5">
        <v>228</v>
      </c>
      <c r="B3" s="5">
        <v>1120232762</v>
      </c>
      <c r="C3" s="6" t="s">
        <v>246</v>
      </c>
      <c r="D3" s="6" t="str">
        <f>VLOOKUP([1]成绩单!B5,[1]Sheet1!$A:$K,4,0)</f>
        <v>精工2311</v>
      </c>
      <c r="E3" s="5">
        <v>4</v>
      </c>
      <c r="F3" s="7">
        <v>6.25E-2</v>
      </c>
      <c r="G3" s="8">
        <v>88.155600000000007</v>
      </c>
      <c r="H3" s="5">
        <v>68</v>
      </c>
      <c r="I3" s="5">
        <v>151</v>
      </c>
      <c r="J3" s="5">
        <v>1</v>
      </c>
      <c r="K3" s="5">
        <v>1</v>
      </c>
      <c r="L3" s="6" t="s">
        <v>27</v>
      </c>
      <c r="M3" s="6">
        <v>2.95</v>
      </c>
      <c r="N3" s="6">
        <v>3.5</v>
      </c>
      <c r="O3" s="6">
        <v>13</v>
      </c>
      <c r="P3" s="6">
        <v>6.7</v>
      </c>
      <c r="Q3" s="6">
        <v>11.3</v>
      </c>
      <c r="R3" s="6"/>
      <c r="S3" s="6">
        <f>SUM(M3:Q3)</f>
        <v>37.450000000000003</v>
      </c>
      <c r="T3" s="6">
        <f>COUNTIFS($Y:$Y, Y3, $S:$S, "&gt;"&amp;S3) + 1</f>
        <v>2</v>
      </c>
      <c r="U3" s="6">
        <f>0.85*E3+T3*0.15</f>
        <v>3.6999999999999997</v>
      </c>
      <c r="V3" s="6">
        <f>100.4-0.4*W3</f>
        <v>99.600000000000009</v>
      </c>
      <c r="W3" s="6">
        <f>COUNTIFS($Y:$Y, Y3, $U:$U, "&lt;"&amp;U3) + 1</f>
        <v>2</v>
      </c>
      <c r="X3" s="5">
        <v>64</v>
      </c>
      <c r="Y3" s="6" t="s">
        <v>245</v>
      </c>
      <c r="Z3" s="10"/>
    </row>
    <row r="4" spans="1:26">
      <c r="A4" s="5">
        <v>229</v>
      </c>
      <c r="B4" s="5">
        <v>1120230820</v>
      </c>
      <c r="C4" s="6" t="s">
        <v>247</v>
      </c>
      <c r="D4" s="6" t="str">
        <f>VLOOKUP([1]成绩单!B4,[1]Sheet1!$A:$K,4,0)</f>
        <v>精工2310</v>
      </c>
      <c r="E4" s="5">
        <v>3</v>
      </c>
      <c r="F4" s="7">
        <v>4.6875E-2</v>
      </c>
      <c r="G4" s="8">
        <v>89.648099999999999</v>
      </c>
      <c r="H4" s="5">
        <v>63</v>
      </c>
      <c r="I4" s="11">
        <v>139.25</v>
      </c>
      <c r="J4" s="5">
        <v>0</v>
      </c>
      <c r="K4" s="5">
        <v>0</v>
      </c>
      <c r="L4" s="6" t="s">
        <v>27</v>
      </c>
      <c r="M4" s="6">
        <v>1.75</v>
      </c>
      <c r="N4" s="6">
        <v>2.6</v>
      </c>
      <c r="O4" s="6">
        <v>5.5</v>
      </c>
      <c r="P4" s="6">
        <v>8.5</v>
      </c>
      <c r="Q4" s="6">
        <v>6</v>
      </c>
      <c r="R4" s="6"/>
      <c r="S4" s="6">
        <f>SUM(M4:Q4)</f>
        <v>24.35</v>
      </c>
      <c r="T4" s="6">
        <f>COUNTIFS($Y:$Y, Y4, $S:$S, "&gt;"&amp;S4) + 1</f>
        <v>13</v>
      </c>
      <c r="U4" s="6">
        <f>0.85*E4+T4*0.15</f>
        <v>4.5</v>
      </c>
      <c r="V4" s="6">
        <f>100.4-0.4*W4</f>
        <v>99.2</v>
      </c>
      <c r="W4" s="6">
        <f>COUNTIFS($Y:$Y, Y4, $U:$U, "&lt;"&amp;U4) + 1</f>
        <v>3</v>
      </c>
      <c r="X4" s="5">
        <v>64</v>
      </c>
      <c r="Y4" s="6" t="s">
        <v>245</v>
      </c>
      <c r="Z4" s="10"/>
    </row>
    <row r="5" spans="1:26">
      <c r="A5" s="5">
        <v>230</v>
      </c>
      <c r="B5" s="5">
        <v>1120232494</v>
      </c>
      <c r="C5" s="6" t="s">
        <v>248</v>
      </c>
      <c r="D5" s="6" t="str">
        <f>VLOOKUP([1]成绩单!B7,[1]Sheet1!$A:$K,4,0)</f>
        <v>精工2312</v>
      </c>
      <c r="E5" s="5">
        <v>6</v>
      </c>
      <c r="F5" s="7">
        <v>9.375E-2</v>
      </c>
      <c r="G5" s="8">
        <v>87.632999999999996</v>
      </c>
      <c r="H5" s="5">
        <v>62</v>
      </c>
      <c r="I5" s="5">
        <v>141</v>
      </c>
      <c r="J5" s="5">
        <v>0</v>
      </c>
      <c r="K5" s="5">
        <v>0</v>
      </c>
      <c r="L5" s="6" t="s">
        <v>27</v>
      </c>
      <c r="M5" s="6">
        <v>3.8</v>
      </c>
      <c r="N5" s="6">
        <v>2</v>
      </c>
      <c r="O5" s="6">
        <v>9.1</v>
      </c>
      <c r="P5" s="6">
        <v>6.6</v>
      </c>
      <c r="Q5" s="6">
        <v>7</v>
      </c>
      <c r="R5" s="6"/>
      <c r="S5" s="6">
        <f>SUM(M5:Q5)</f>
        <v>28.5</v>
      </c>
      <c r="T5" s="6">
        <f>COUNTIFS($Y:$Y, Y5, $S:$S, "&gt;"&amp;S5) + 1</f>
        <v>8</v>
      </c>
      <c r="U5" s="6">
        <f>0.85*E5+T5*0.15</f>
        <v>6.3</v>
      </c>
      <c r="V5" s="6">
        <f>100.4-0.4*W5</f>
        <v>98.800000000000011</v>
      </c>
      <c r="W5" s="6">
        <f>COUNTIFS($Y:$Y, Y5, $U:$U, "&lt;"&amp;U5) + 1</f>
        <v>4</v>
      </c>
      <c r="X5" s="5">
        <v>64</v>
      </c>
      <c r="Y5" s="6" t="s">
        <v>245</v>
      </c>
      <c r="Z5" s="10"/>
    </row>
    <row r="6" spans="1:26">
      <c r="A6" s="5">
        <v>231</v>
      </c>
      <c r="B6" s="5">
        <v>1120230992</v>
      </c>
      <c r="C6" s="6" t="s">
        <v>249</v>
      </c>
      <c r="D6" s="6" t="str">
        <f>VLOOKUP([1]成绩单!B2,[1]Sheet1!$A:$K,4,0)</f>
        <v>精工2310</v>
      </c>
      <c r="E6" s="5">
        <v>1</v>
      </c>
      <c r="F6" s="7">
        <v>1.5625E-2</v>
      </c>
      <c r="G6" s="8">
        <v>90.527900000000002</v>
      </c>
      <c r="H6" s="5">
        <v>70</v>
      </c>
      <c r="I6" s="9">
        <v>152.5</v>
      </c>
      <c r="J6" s="5">
        <v>0</v>
      </c>
      <c r="K6" s="5">
        <v>0</v>
      </c>
      <c r="L6" s="6" t="s">
        <v>27</v>
      </c>
      <c r="M6" s="6">
        <v>2.1</v>
      </c>
      <c r="N6" s="6">
        <v>0</v>
      </c>
      <c r="O6" s="6">
        <v>0.8</v>
      </c>
      <c r="P6" s="6">
        <v>1</v>
      </c>
      <c r="Q6" s="6">
        <v>0</v>
      </c>
      <c r="R6" s="6"/>
      <c r="S6" s="6">
        <f>SUM(M6:Q6)</f>
        <v>3.9000000000000004</v>
      </c>
      <c r="T6" s="6">
        <f>COUNTIFS($Y:$Y, Y6, $S:$S, "&gt;"&amp;S6) + 1</f>
        <v>41</v>
      </c>
      <c r="U6" s="6">
        <f>0.85*E6+T6*0.15</f>
        <v>6.9999999999999991</v>
      </c>
      <c r="V6" s="6">
        <f>100.4-0.4*W6</f>
        <v>98.4</v>
      </c>
      <c r="W6" s="6">
        <f>COUNTIFS($Y:$Y, Y6, $U:$U, "&lt;"&amp;U6) + 1</f>
        <v>5</v>
      </c>
      <c r="X6" s="5">
        <v>64</v>
      </c>
      <c r="Y6" s="6" t="s">
        <v>245</v>
      </c>
      <c r="Z6" s="10"/>
    </row>
    <row r="7" spans="1:26">
      <c r="A7" s="5">
        <v>232</v>
      </c>
      <c r="B7" s="5">
        <v>1120231419</v>
      </c>
      <c r="C7" s="6" t="s">
        <v>250</v>
      </c>
      <c r="D7" s="6" t="str">
        <f>VLOOKUP([1]成绩单!B9,[1]Sheet1!$A:$K,4,0)</f>
        <v>精工2311</v>
      </c>
      <c r="E7" s="5">
        <v>8</v>
      </c>
      <c r="F7" s="7">
        <v>0.125</v>
      </c>
      <c r="G7" s="8">
        <v>87.091200000000001</v>
      </c>
      <c r="H7" s="5">
        <v>68</v>
      </c>
      <c r="I7" s="5">
        <v>148</v>
      </c>
      <c r="J7" s="5">
        <v>0</v>
      </c>
      <c r="K7" s="5">
        <v>0</v>
      </c>
      <c r="L7" s="6" t="s">
        <v>27</v>
      </c>
      <c r="M7" s="6">
        <v>4.0999999999999996</v>
      </c>
      <c r="N7" s="6">
        <v>4</v>
      </c>
      <c r="O7" s="6">
        <v>4.5</v>
      </c>
      <c r="P7" s="6">
        <v>5.5</v>
      </c>
      <c r="Q7" s="6">
        <v>8.3000000000000007</v>
      </c>
      <c r="R7" s="6"/>
      <c r="S7" s="6">
        <f>SUM(M7:Q7)</f>
        <v>26.400000000000002</v>
      </c>
      <c r="T7" s="6">
        <f>COUNTIFS($Y:$Y, Y7, $S:$S, "&gt;"&amp;S7) + 1</f>
        <v>10</v>
      </c>
      <c r="U7" s="6">
        <f>0.85*E7+T7*0.15</f>
        <v>8.3000000000000007</v>
      </c>
      <c r="V7" s="6">
        <f>100.4-0.4*W7</f>
        <v>98</v>
      </c>
      <c r="W7" s="6">
        <f>COUNTIFS($Y:$Y, Y7, $U:$U, "&lt;"&amp;U7) + 1</f>
        <v>6</v>
      </c>
      <c r="X7" s="5">
        <v>64</v>
      </c>
      <c r="Y7" s="6" t="s">
        <v>245</v>
      </c>
      <c r="Z7" s="10"/>
    </row>
    <row r="8" spans="1:26">
      <c r="A8" s="5">
        <v>233</v>
      </c>
      <c r="B8" s="5">
        <v>1120230363</v>
      </c>
      <c r="C8" s="6" t="s">
        <v>251</v>
      </c>
      <c r="D8" s="6" t="str">
        <f>VLOOKUP([1]成绩单!B6,[1]Sheet1!$A:$K,4,0)</f>
        <v>精工2310</v>
      </c>
      <c r="E8" s="5">
        <v>5</v>
      </c>
      <c r="F8" s="7">
        <v>7.8125E-2</v>
      </c>
      <c r="G8" s="8">
        <v>87.763999999999996</v>
      </c>
      <c r="H8" s="5">
        <v>64</v>
      </c>
      <c r="I8" s="5">
        <v>143</v>
      </c>
      <c r="J8" s="5">
        <v>0</v>
      </c>
      <c r="K8" s="5">
        <v>0</v>
      </c>
      <c r="L8" s="6" t="s">
        <v>27</v>
      </c>
      <c r="M8" s="6">
        <v>2.1</v>
      </c>
      <c r="N8" s="6">
        <v>0.85</v>
      </c>
      <c r="O8" s="6">
        <v>1</v>
      </c>
      <c r="P8" s="6">
        <v>1</v>
      </c>
      <c r="Q8" s="6">
        <v>0</v>
      </c>
      <c r="R8" s="6"/>
      <c r="S8" s="6">
        <f>SUM(M8:Q8)</f>
        <v>4.95</v>
      </c>
      <c r="T8" s="6">
        <f>COUNTIFS($Y:$Y, Y8, $S:$S, "&gt;"&amp;S8) + 1</f>
        <v>37</v>
      </c>
      <c r="U8" s="6">
        <f>0.85*E8+T8*0.15</f>
        <v>9.8000000000000007</v>
      </c>
      <c r="V8" s="6">
        <f>100.4-0.4*W8</f>
        <v>97.600000000000009</v>
      </c>
      <c r="W8" s="6">
        <f>COUNTIFS($Y:$Y, Y8, $U:$U, "&lt;"&amp;U8) + 1</f>
        <v>7</v>
      </c>
      <c r="X8" s="5">
        <v>64</v>
      </c>
      <c r="Y8" s="6" t="s">
        <v>245</v>
      </c>
      <c r="Z8" s="10"/>
    </row>
    <row r="9" spans="1:26">
      <c r="A9" s="5">
        <v>234</v>
      </c>
      <c r="B9" s="5">
        <v>1120232902</v>
      </c>
      <c r="C9" s="6" t="s">
        <v>252</v>
      </c>
      <c r="D9" s="6" t="str">
        <f>VLOOKUP([1]成绩单!B11,[1]Sheet1!$A:$K,4,0)</f>
        <v>精工2311</v>
      </c>
      <c r="E9" s="5">
        <v>10</v>
      </c>
      <c r="F9" s="7">
        <v>0.15625</v>
      </c>
      <c r="G9" s="8">
        <v>86.760900000000007</v>
      </c>
      <c r="H9" s="5">
        <v>67</v>
      </c>
      <c r="I9" s="9">
        <v>149.5</v>
      </c>
      <c r="J9" s="5">
        <v>0</v>
      </c>
      <c r="K9" s="5">
        <v>0</v>
      </c>
      <c r="L9" s="6" t="s">
        <v>27</v>
      </c>
      <c r="M9" s="6">
        <v>2.65</v>
      </c>
      <c r="N9" s="6">
        <v>4.3</v>
      </c>
      <c r="O9" s="6">
        <v>6</v>
      </c>
      <c r="P9" s="6">
        <v>4.5999999999999996</v>
      </c>
      <c r="Q9" s="6">
        <v>10.4</v>
      </c>
      <c r="R9" s="6"/>
      <c r="S9" s="6">
        <f>SUM(M9:Q9)</f>
        <v>27.949999999999996</v>
      </c>
      <c r="T9" s="6">
        <f>COUNTIFS($Y:$Y, Y9, $S:$S, "&gt;"&amp;S9) + 1</f>
        <v>9</v>
      </c>
      <c r="U9" s="6">
        <f>0.85*E9+T9*0.15</f>
        <v>9.85</v>
      </c>
      <c r="V9" s="6">
        <f>100.4-0.4*W9</f>
        <v>97.2</v>
      </c>
      <c r="W9" s="6">
        <f>COUNTIFS($Y:$Y, Y9, $U:$U, "&lt;"&amp;U9) + 1</f>
        <v>8</v>
      </c>
      <c r="X9" s="5">
        <v>64</v>
      </c>
      <c r="Y9" s="6" t="s">
        <v>245</v>
      </c>
      <c r="Z9" s="10"/>
    </row>
    <row r="10" spans="1:26">
      <c r="A10" s="5">
        <v>235</v>
      </c>
      <c r="B10" s="5">
        <v>1120232359</v>
      </c>
      <c r="C10" s="6" t="s">
        <v>253</v>
      </c>
      <c r="D10" s="6" t="str">
        <f>VLOOKUP([1]成绩单!B10,[1]Sheet1!$A:$K,4,0)</f>
        <v>精工2312</v>
      </c>
      <c r="E10" s="5">
        <v>9</v>
      </c>
      <c r="F10" s="7">
        <v>0.140625</v>
      </c>
      <c r="G10" s="8">
        <v>86.958600000000004</v>
      </c>
      <c r="H10" s="5">
        <v>61</v>
      </c>
      <c r="I10" s="5">
        <v>139</v>
      </c>
      <c r="J10" s="5">
        <v>0</v>
      </c>
      <c r="K10" s="5">
        <v>0</v>
      </c>
      <c r="L10" s="6" t="s">
        <v>27</v>
      </c>
      <c r="M10" s="6">
        <v>2.2000000000000002</v>
      </c>
      <c r="N10" s="6">
        <v>1</v>
      </c>
      <c r="O10" s="6">
        <v>2.35</v>
      </c>
      <c r="P10" s="6">
        <v>10.199999999999999</v>
      </c>
      <c r="Q10" s="6">
        <v>2.5</v>
      </c>
      <c r="R10" s="6"/>
      <c r="S10" s="6">
        <f>SUM(M10:Q10)</f>
        <v>18.25</v>
      </c>
      <c r="T10" s="6">
        <f>COUNTIFS($Y:$Y, Y10, $S:$S, "&gt;"&amp;S10) + 1</f>
        <v>16</v>
      </c>
      <c r="U10" s="6">
        <f>0.85*E10+T10*0.15</f>
        <v>10.049999999999999</v>
      </c>
      <c r="V10" s="6">
        <f>100.4-0.4*W10</f>
        <v>96.800000000000011</v>
      </c>
      <c r="W10" s="6">
        <f>COUNTIFS($Y:$Y, Y10, $U:$U, "&lt;"&amp;U10) + 1</f>
        <v>9</v>
      </c>
      <c r="X10" s="5">
        <v>64</v>
      </c>
      <c r="Y10" s="6" t="s">
        <v>245</v>
      </c>
      <c r="Z10" s="10"/>
    </row>
    <row r="11" spans="1:26">
      <c r="A11" s="5">
        <v>236</v>
      </c>
      <c r="B11" s="5">
        <v>1120231776</v>
      </c>
      <c r="C11" s="6" t="s">
        <v>254</v>
      </c>
      <c r="D11" s="6" t="str">
        <f>VLOOKUP([1]成绩单!B8,[1]Sheet1!$A:$K,4,0)</f>
        <v>精工2313</v>
      </c>
      <c r="E11" s="5">
        <v>7</v>
      </c>
      <c r="F11" s="7">
        <v>0.109375</v>
      </c>
      <c r="G11" s="8">
        <v>87.117000000000004</v>
      </c>
      <c r="H11" s="5">
        <v>62</v>
      </c>
      <c r="I11" s="5">
        <v>141</v>
      </c>
      <c r="J11" s="5">
        <v>0</v>
      </c>
      <c r="K11" s="5">
        <v>0</v>
      </c>
      <c r="L11" s="6" t="s">
        <v>27</v>
      </c>
      <c r="M11" s="6">
        <v>1</v>
      </c>
      <c r="N11" s="6">
        <v>0</v>
      </c>
      <c r="O11" s="6">
        <v>1</v>
      </c>
      <c r="P11" s="6">
        <v>1.8</v>
      </c>
      <c r="Q11" s="6">
        <v>1</v>
      </c>
      <c r="R11" s="6"/>
      <c r="S11" s="6">
        <f>SUM(M11:Q11)</f>
        <v>4.8</v>
      </c>
      <c r="T11" s="6">
        <f>COUNTIFS($Y:$Y, Y11, $S:$S, "&gt;"&amp;S11) + 1</f>
        <v>38</v>
      </c>
      <c r="U11" s="6">
        <f>0.85*E11+T11*0.15</f>
        <v>11.65</v>
      </c>
      <c r="V11" s="6">
        <f>100.4-0.4*W11</f>
        <v>96.4</v>
      </c>
      <c r="W11" s="6">
        <f>COUNTIFS($Y:$Y, Y11, $U:$U, "&lt;"&amp;U11) + 1</f>
        <v>10</v>
      </c>
      <c r="X11" s="5">
        <v>64</v>
      </c>
      <c r="Y11" s="6" t="s">
        <v>245</v>
      </c>
      <c r="Z11" s="10"/>
    </row>
    <row r="12" spans="1:26">
      <c r="A12" s="5">
        <v>237</v>
      </c>
      <c r="B12" s="5">
        <v>1120231028</v>
      </c>
      <c r="C12" s="6" t="s">
        <v>255</v>
      </c>
      <c r="D12" s="6" t="str">
        <f>VLOOKUP([1]成绩单!B13,[1]Sheet1!$A:$K,4,0)</f>
        <v>精工2313</v>
      </c>
      <c r="E12" s="5">
        <v>12</v>
      </c>
      <c r="F12" s="7">
        <v>0.1875</v>
      </c>
      <c r="G12" s="8">
        <v>83.963999999999999</v>
      </c>
      <c r="H12" s="5">
        <v>61</v>
      </c>
      <c r="I12" s="5">
        <v>139</v>
      </c>
      <c r="J12" s="5">
        <v>0</v>
      </c>
      <c r="K12" s="5">
        <v>0</v>
      </c>
      <c r="L12" s="6" t="s">
        <v>27</v>
      </c>
      <c r="M12" s="6">
        <v>2.2999999999999998</v>
      </c>
      <c r="N12" s="6">
        <v>3.5</v>
      </c>
      <c r="O12" s="6">
        <v>4.3</v>
      </c>
      <c r="P12" s="6">
        <v>4.8</v>
      </c>
      <c r="Q12" s="6">
        <v>9.6999999999999993</v>
      </c>
      <c r="R12" s="6"/>
      <c r="S12" s="6">
        <f>SUM(M12:Q12)</f>
        <v>24.599999999999998</v>
      </c>
      <c r="T12" s="6">
        <f>COUNTIFS($Y:$Y, Y12, $S:$S, "&gt;"&amp;S12) + 1</f>
        <v>12</v>
      </c>
      <c r="U12" s="6">
        <f>0.85*E12+T12*0.15</f>
        <v>12</v>
      </c>
      <c r="V12" s="6">
        <f>100.4-0.4*W12</f>
        <v>96</v>
      </c>
      <c r="W12" s="6">
        <f>COUNTIFS($Y:$Y, Y12, $U:$U, "&lt;"&amp;U12) + 1</f>
        <v>11</v>
      </c>
      <c r="X12" s="5">
        <v>64</v>
      </c>
      <c r="Y12" s="6" t="s">
        <v>245</v>
      </c>
      <c r="Z12" s="10"/>
    </row>
    <row r="13" spans="1:26">
      <c r="A13" s="5">
        <v>238</v>
      </c>
      <c r="B13" s="5">
        <v>1120230999</v>
      </c>
      <c r="C13" s="6" t="s">
        <v>256</v>
      </c>
      <c r="D13" s="6" t="str">
        <f>VLOOKUP([1]成绩单!B12,[1]Sheet1!$A:$K,4,0)</f>
        <v>精工2312</v>
      </c>
      <c r="E13" s="5">
        <v>11</v>
      </c>
      <c r="F13" s="7">
        <v>0.171875</v>
      </c>
      <c r="G13" s="8">
        <v>84.630300000000005</v>
      </c>
      <c r="H13" s="5">
        <v>63</v>
      </c>
      <c r="I13" s="5">
        <v>142</v>
      </c>
      <c r="J13" s="5">
        <v>0</v>
      </c>
      <c r="K13" s="5">
        <v>0</v>
      </c>
      <c r="L13" s="6" t="s">
        <v>27</v>
      </c>
      <c r="M13" s="6">
        <v>0.15</v>
      </c>
      <c r="N13" s="6">
        <v>4</v>
      </c>
      <c r="O13" s="6">
        <v>1.8</v>
      </c>
      <c r="P13" s="6">
        <v>2.2000000000000002</v>
      </c>
      <c r="Q13" s="6">
        <v>2</v>
      </c>
      <c r="R13" s="6"/>
      <c r="S13" s="6">
        <f>SUM(M13:Q13)</f>
        <v>10.15</v>
      </c>
      <c r="T13" s="6">
        <f>COUNTIFS($Y:$Y, Y13, $S:$S, "&gt;"&amp;S13) + 1</f>
        <v>26</v>
      </c>
      <c r="U13" s="6">
        <f>0.85*E13+T13*0.15</f>
        <v>13.25</v>
      </c>
      <c r="V13" s="6">
        <f>100.4-0.4*W13</f>
        <v>95.600000000000009</v>
      </c>
      <c r="W13" s="6">
        <f>COUNTIFS($Y:$Y, Y13, $U:$U, "&lt;"&amp;U13) + 1</f>
        <v>12</v>
      </c>
      <c r="X13" s="5">
        <v>64</v>
      </c>
      <c r="Y13" s="6" t="s">
        <v>245</v>
      </c>
      <c r="Z13" s="10"/>
    </row>
    <row r="14" spans="1:26">
      <c r="A14" s="5">
        <v>239</v>
      </c>
      <c r="B14" s="5">
        <v>1120231760</v>
      </c>
      <c r="C14" s="6" t="s">
        <v>257</v>
      </c>
      <c r="D14" s="6" t="str">
        <f>VLOOKUP([1]成绩单!B14,[1]Sheet1!$A:$K,4,0)</f>
        <v>精工2313</v>
      </c>
      <c r="E14" s="5">
        <v>13</v>
      </c>
      <c r="F14" s="7">
        <v>0.203125</v>
      </c>
      <c r="G14" s="8">
        <v>83.854900000000001</v>
      </c>
      <c r="H14" s="5">
        <v>63</v>
      </c>
      <c r="I14" s="5">
        <v>143</v>
      </c>
      <c r="J14" s="5">
        <v>0</v>
      </c>
      <c r="K14" s="5">
        <v>0</v>
      </c>
      <c r="L14" s="6" t="s">
        <v>27</v>
      </c>
      <c r="M14" s="6">
        <v>2.4</v>
      </c>
      <c r="N14" s="6">
        <v>2.7</v>
      </c>
      <c r="O14" s="6">
        <v>4.8</v>
      </c>
      <c r="P14" s="6">
        <v>4.3</v>
      </c>
      <c r="Q14" s="6">
        <v>6.2</v>
      </c>
      <c r="R14" s="6"/>
      <c r="S14" s="6">
        <f>SUM(M14:Q14)</f>
        <v>20.399999999999999</v>
      </c>
      <c r="T14" s="6">
        <f>COUNTIFS($Y:$Y, Y14, $S:$S, "&gt;"&amp;S14) + 1</f>
        <v>15</v>
      </c>
      <c r="U14" s="6">
        <f>0.85*E14+T14*0.15</f>
        <v>13.299999999999999</v>
      </c>
      <c r="V14" s="6">
        <f>100.4-0.4*W14</f>
        <v>95.2</v>
      </c>
      <c r="W14" s="6">
        <f>COUNTIFS($Y:$Y, Y14, $U:$U, "&lt;"&amp;U14) + 1</f>
        <v>13</v>
      </c>
      <c r="X14" s="5">
        <v>64</v>
      </c>
      <c r="Y14" s="6" t="s">
        <v>245</v>
      </c>
      <c r="Z14" s="10"/>
    </row>
    <row r="15" spans="1:26">
      <c r="A15" s="5">
        <v>240</v>
      </c>
      <c r="B15" s="5">
        <v>1120232044</v>
      </c>
      <c r="C15" s="6" t="s">
        <v>258</v>
      </c>
      <c r="D15" s="6" t="str">
        <f>VLOOKUP([1]成绩单!B17,[1]Sheet1!$A:$K,4,0)</f>
        <v>精工2313</v>
      </c>
      <c r="E15" s="5">
        <v>16</v>
      </c>
      <c r="F15" s="7">
        <v>0.25</v>
      </c>
      <c r="G15" s="8">
        <v>83.312899999999999</v>
      </c>
      <c r="H15" s="5">
        <v>61</v>
      </c>
      <c r="I15" s="5">
        <v>139</v>
      </c>
      <c r="J15" s="5">
        <v>0</v>
      </c>
      <c r="K15" s="5">
        <v>0</v>
      </c>
      <c r="L15" s="6" t="s">
        <v>27</v>
      </c>
      <c r="M15" s="6">
        <v>4.5</v>
      </c>
      <c r="N15" s="6">
        <v>2</v>
      </c>
      <c r="O15" s="6">
        <v>7.1</v>
      </c>
      <c r="P15" s="6">
        <v>15.8</v>
      </c>
      <c r="Q15" s="6">
        <v>8.6999999999999993</v>
      </c>
      <c r="R15" s="6"/>
      <c r="S15" s="6">
        <f>SUM(M15:Q15)</f>
        <v>38.099999999999994</v>
      </c>
      <c r="T15" s="6">
        <f>COUNTIFS($Y:$Y, Y15, $S:$S, "&gt;"&amp;S15) + 1</f>
        <v>1</v>
      </c>
      <c r="U15" s="6">
        <f>0.85*E15+T15*0.15</f>
        <v>13.75</v>
      </c>
      <c r="V15" s="6">
        <f>100.4-0.4*W15</f>
        <v>94.800000000000011</v>
      </c>
      <c r="W15" s="6">
        <f>COUNTIFS($Y:$Y, Y15, $U:$U, "&lt;"&amp;U15) + 1</f>
        <v>14</v>
      </c>
      <c r="X15" s="5">
        <v>64</v>
      </c>
      <c r="Y15" s="6" t="s">
        <v>245</v>
      </c>
      <c r="Z15" s="10"/>
    </row>
    <row r="16" spans="1:26">
      <c r="A16" s="5">
        <v>241</v>
      </c>
      <c r="B16" s="5">
        <v>1120232500</v>
      </c>
      <c r="C16" s="6" t="s">
        <v>259</v>
      </c>
      <c r="D16" s="6" t="str">
        <f>VLOOKUP([1]成绩单!B15,[1]Sheet1!$A:$K,4,0)</f>
        <v>精工2311</v>
      </c>
      <c r="E16" s="5">
        <v>14</v>
      </c>
      <c r="F16" s="7">
        <v>0.21875</v>
      </c>
      <c r="G16" s="8">
        <v>83.555599999999998</v>
      </c>
      <c r="H16" s="5">
        <v>62</v>
      </c>
      <c r="I16" s="9">
        <v>139.5</v>
      </c>
      <c r="J16" s="5">
        <v>0</v>
      </c>
      <c r="K16" s="5">
        <v>0</v>
      </c>
      <c r="L16" s="6" t="s">
        <v>27</v>
      </c>
      <c r="M16" s="6">
        <v>1.6</v>
      </c>
      <c r="N16" s="6">
        <v>2.2000000000000002</v>
      </c>
      <c r="O16" s="6">
        <v>0.7</v>
      </c>
      <c r="P16" s="6">
        <v>5.9</v>
      </c>
      <c r="Q16" s="6">
        <v>2.7</v>
      </c>
      <c r="R16" s="6"/>
      <c r="S16" s="6">
        <f>SUM(M16:Q16)</f>
        <v>13.100000000000001</v>
      </c>
      <c r="T16" s="6">
        <f>COUNTIFS($Y:$Y, Y16, $S:$S, "&gt;"&amp;S16) + 1</f>
        <v>20</v>
      </c>
      <c r="U16" s="6">
        <f>0.85*E16+T16*0.15</f>
        <v>14.9</v>
      </c>
      <c r="V16" s="6">
        <f>100.4-0.4*W16</f>
        <v>94.4</v>
      </c>
      <c r="W16" s="6">
        <f>COUNTIFS($Y:$Y, Y16, $U:$U, "&lt;"&amp;U16) + 1</f>
        <v>15</v>
      </c>
      <c r="X16" s="5">
        <v>64</v>
      </c>
      <c r="Y16" s="6" t="s">
        <v>245</v>
      </c>
      <c r="Z16" s="10"/>
    </row>
    <row r="17" spans="1:26">
      <c r="A17" s="5">
        <v>242</v>
      </c>
      <c r="B17" s="5">
        <v>1120231264</v>
      </c>
      <c r="C17" s="6" t="s">
        <v>260</v>
      </c>
      <c r="D17" s="6" t="str">
        <f>VLOOKUP([1]成绩单!B16,[1]Sheet1!$A:$K,4,0)</f>
        <v>精工2310</v>
      </c>
      <c r="E17" s="5">
        <v>15</v>
      </c>
      <c r="F17" s="7">
        <v>0.234375</v>
      </c>
      <c r="G17" s="8">
        <v>83.379400000000004</v>
      </c>
      <c r="H17" s="5">
        <v>62</v>
      </c>
      <c r="I17" s="5">
        <v>141</v>
      </c>
      <c r="J17" s="5">
        <v>0</v>
      </c>
      <c r="K17" s="5">
        <v>0</v>
      </c>
      <c r="L17" s="6" t="s">
        <v>27</v>
      </c>
      <c r="M17" s="6">
        <v>1.3</v>
      </c>
      <c r="N17" s="6">
        <v>1</v>
      </c>
      <c r="O17" s="6">
        <v>2.5499999999999998</v>
      </c>
      <c r="P17" s="6">
        <v>3.5</v>
      </c>
      <c r="Q17" s="6">
        <v>6</v>
      </c>
      <c r="R17" s="6"/>
      <c r="S17" s="6">
        <f>SUM(M17:Q17)</f>
        <v>14.35</v>
      </c>
      <c r="T17" s="6">
        <f>COUNTIFS($Y:$Y, Y17, $S:$S, "&gt;"&amp;S17) + 1</f>
        <v>19</v>
      </c>
      <c r="U17" s="6">
        <f>0.85*E17+T17*0.15</f>
        <v>15.6</v>
      </c>
      <c r="V17" s="6">
        <f>100.4-0.4*W17</f>
        <v>94</v>
      </c>
      <c r="W17" s="6">
        <f>COUNTIFS($Y:$Y, Y17, $U:$U, "&lt;"&amp;U17) + 1</f>
        <v>16</v>
      </c>
      <c r="X17" s="5">
        <v>64</v>
      </c>
      <c r="Y17" s="6" t="s">
        <v>245</v>
      </c>
      <c r="Z17" s="10"/>
    </row>
    <row r="18" spans="1:26">
      <c r="A18" s="5">
        <v>243</v>
      </c>
      <c r="B18" s="5">
        <v>1120232313</v>
      </c>
      <c r="C18" s="6" t="s">
        <v>261</v>
      </c>
      <c r="D18" s="6" t="str">
        <f>VLOOKUP([1]成绩单!B20,[1]Sheet1!$A:$K,4,0)</f>
        <v>精工2312</v>
      </c>
      <c r="E18" s="5">
        <v>19</v>
      </c>
      <c r="F18" s="7">
        <v>0.296875</v>
      </c>
      <c r="G18" s="8">
        <v>82.467699999999994</v>
      </c>
      <c r="H18" s="5">
        <v>66</v>
      </c>
      <c r="I18" s="5">
        <v>147</v>
      </c>
      <c r="J18" s="5">
        <v>0</v>
      </c>
      <c r="K18" s="5">
        <v>0</v>
      </c>
      <c r="L18" s="6" t="s">
        <v>27</v>
      </c>
      <c r="M18" s="6">
        <v>3.2</v>
      </c>
      <c r="N18" s="6">
        <v>2</v>
      </c>
      <c r="O18" s="6">
        <v>5</v>
      </c>
      <c r="P18" s="6">
        <v>16.899999999999999</v>
      </c>
      <c r="Q18" s="6">
        <v>6.3</v>
      </c>
      <c r="R18" s="6"/>
      <c r="S18" s="6">
        <f>SUM(M18:Q18)</f>
        <v>33.4</v>
      </c>
      <c r="T18" s="6">
        <f>COUNTIFS($Y:$Y, Y18, $S:$S, "&gt;"&amp;S18) + 1</f>
        <v>4</v>
      </c>
      <c r="U18" s="6">
        <f>0.85*E18+T18*0.15</f>
        <v>16.75</v>
      </c>
      <c r="V18" s="6">
        <f>100.4-0.4*W18</f>
        <v>93.600000000000009</v>
      </c>
      <c r="W18" s="6">
        <f>COUNTIFS($Y:$Y, Y18, $U:$U, "&lt;"&amp;U18) + 1</f>
        <v>17</v>
      </c>
      <c r="X18" s="5">
        <v>64</v>
      </c>
      <c r="Y18" s="6" t="s">
        <v>245</v>
      </c>
      <c r="Z18" s="10"/>
    </row>
    <row r="19" spans="1:26">
      <c r="A19" s="5">
        <v>244</v>
      </c>
      <c r="B19" s="5">
        <v>1120231749</v>
      </c>
      <c r="C19" s="6" t="s">
        <v>262</v>
      </c>
      <c r="D19" s="6" t="str">
        <f>VLOOKUP([1]成绩单!B18,[1]Sheet1!$A:$K,4,0)</f>
        <v>精工2311</v>
      </c>
      <c r="E19" s="5">
        <v>17</v>
      </c>
      <c r="F19" s="7">
        <v>0.265625</v>
      </c>
      <c r="G19" s="8">
        <v>83.087999999999994</v>
      </c>
      <c r="H19" s="5">
        <v>63</v>
      </c>
      <c r="I19" s="5">
        <v>142</v>
      </c>
      <c r="J19" s="5">
        <v>0</v>
      </c>
      <c r="K19" s="5">
        <v>0</v>
      </c>
      <c r="L19" s="6" t="s">
        <v>27</v>
      </c>
      <c r="M19" s="6">
        <v>0.35</v>
      </c>
      <c r="N19" s="6">
        <v>0.4</v>
      </c>
      <c r="O19" s="6">
        <v>1.5</v>
      </c>
      <c r="P19" s="6">
        <v>2.7</v>
      </c>
      <c r="Q19" s="6">
        <v>1.2</v>
      </c>
      <c r="R19" s="6"/>
      <c r="S19" s="6">
        <f>SUM(M19:Q19)</f>
        <v>6.15</v>
      </c>
      <c r="T19" s="6">
        <f>COUNTIFS($Y:$Y, Y19, $S:$S, "&gt;"&amp;S19) + 1</f>
        <v>35</v>
      </c>
      <c r="U19" s="6">
        <f>0.85*E19+T19*0.15</f>
        <v>19.7</v>
      </c>
      <c r="V19" s="6">
        <f>100.4-0.4*W19</f>
        <v>93.2</v>
      </c>
      <c r="W19" s="6">
        <f>COUNTIFS($Y:$Y, Y19, $U:$U, "&lt;"&amp;U19) + 1</f>
        <v>18</v>
      </c>
      <c r="X19" s="5">
        <v>64</v>
      </c>
      <c r="Y19" s="6" t="s">
        <v>245</v>
      </c>
      <c r="Z19" s="10"/>
    </row>
    <row r="20" spans="1:26">
      <c r="A20" s="5">
        <v>245</v>
      </c>
      <c r="B20" s="5">
        <v>1120231276</v>
      </c>
      <c r="C20" s="6" t="s">
        <v>263</v>
      </c>
      <c r="D20" s="6" t="str">
        <f>VLOOKUP([1]成绩单!B22,[1]Sheet1!$A:$K,4,0)</f>
        <v>精工2310</v>
      </c>
      <c r="E20" s="5">
        <v>21</v>
      </c>
      <c r="F20" s="7">
        <v>0.328125</v>
      </c>
      <c r="G20" s="8">
        <v>81.246399999999994</v>
      </c>
      <c r="H20" s="5">
        <v>62</v>
      </c>
      <c r="I20" s="5">
        <v>139</v>
      </c>
      <c r="J20" s="5">
        <v>0</v>
      </c>
      <c r="K20" s="5">
        <v>0</v>
      </c>
      <c r="L20" s="6" t="s">
        <v>96</v>
      </c>
      <c r="M20" s="6">
        <v>2.5</v>
      </c>
      <c r="N20" s="6">
        <v>1</v>
      </c>
      <c r="O20" s="6">
        <v>4</v>
      </c>
      <c r="P20" s="6">
        <v>2</v>
      </c>
      <c r="Q20" s="6">
        <v>6.2</v>
      </c>
      <c r="R20" s="6"/>
      <c r="S20" s="6">
        <f>SUM(M20:Q20)</f>
        <v>15.7</v>
      </c>
      <c r="T20" s="6">
        <f>COUNTIFS($Y:$Y, Y20, $S:$S, "&gt;"&amp;S20) + 1</f>
        <v>17</v>
      </c>
      <c r="U20" s="6">
        <f>0.85*E20+T20*0.15</f>
        <v>20.399999999999999</v>
      </c>
      <c r="V20" s="6">
        <f>100.4-0.4*W20</f>
        <v>92.800000000000011</v>
      </c>
      <c r="W20" s="6">
        <f>COUNTIFS($Y:$Y, Y20, $U:$U, "&lt;"&amp;U20) + 1</f>
        <v>19</v>
      </c>
      <c r="X20" s="5">
        <v>64</v>
      </c>
      <c r="Y20" s="6" t="s">
        <v>245</v>
      </c>
      <c r="Z20" s="10"/>
    </row>
    <row r="21" spans="1:26">
      <c r="A21" s="5">
        <v>246</v>
      </c>
      <c r="B21" s="5">
        <v>1120231759</v>
      </c>
      <c r="C21" s="6" t="s">
        <v>264</v>
      </c>
      <c r="D21" s="6" t="str">
        <f>VLOOKUP([1]成绩单!B21,[1]Sheet1!$A:$K,4,0)</f>
        <v>精工2313</v>
      </c>
      <c r="E21" s="5">
        <v>20</v>
      </c>
      <c r="F21" s="7">
        <v>0.3125</v>
      </c>
      <c r="G21" s="8">
        <v>81.913700000000006</v>
      </c>
      <c r="H21" s="5">
        <v>61</v>
      </c>
      <c r="I21" s="5">
        <v>139</v>
      </c>
      <c r="J21" s="5">
        <v>1</v>
      </c>
      <c r="K21" s="5">
        <v>1</v>
      </c>
      <c r="L21" s="6" t="s">
        <v>27</v>
      </c>
      <c r="M21" s="6">
        <v>1.5</v>
      </c>
      <c r="N21" s="6">
        <v>1.615</v>
      </c>
      <c r="O21" s="6">
        <v>2</v>
      </c>
      <c r="P21" s="6">
        <v>1</v>
      </c>
      <c r="Q21" s="6">
        <v>4.5</v>
      </c>
      <c r="R21" s="6"/>
      <c r="S21" s="6">
        <f>SUM(M21:Q21)</f>
        <v>10.615</v>
      </c>
      <c r="T21" s="6">
        <f>COUNTIFS($Y:$Y, Y21, $S:$S, "&gt;"&amp;S21) + 1</f>
        <v>24</v>
      </c>
      <c r="U21" s="6">
        <f>0.85*E21+T21*0.15</f>
        <v>20.6</v>
      </c>
      <c r="V21" s="6">
        <f>100.4-0.4*W21</f>
        <v>92.4</v>
      </c>
      <c r="W21" s="6">
        <f>COUNTIFS($Y:$Y, Y21, $U:$U, "&lt;"&amp;U21) + 1</f>
        <v>20</v>
      </c>
      <c r="X21" s="5">
        <v>64</v>
      </c>
      <c r="Y21" s="6" t="s">
        <v>245</v>
      </c>
      <c r="Z21" s="10"/>
    </row>
    <row r="22" spans="1:26">
      <c r="A22" s="5">
        <v>247</v>
      </c>
      <c r="B22" s="5">
        <v>1120230827</v>
      </c>
      <c r="C22" s="6" t="s">
        <v>265</v>
      </c>
      <c r="D22" s="6" t="str">
        <f>VLOOKUP([1]成绩单!B19,[1]Sheet1!$A:$K,4,0)</f>
        <v>精工2311</v>
      </c>
      <c r="E22" s="5">
        <v>18</v>
      </c>
      <c r="F22" s="7">
        <v>0.28125</v>
      </c>
      <c r="G22" s="8">
        <v>82.930700000000002</v>
      </c>
      <c r="H22" s="5">
        <v>60</v>
      </c>
      <c r="I22" s="5">
        <v>137</v>
      </c>
      <c r="J22" s="5">
        <v>0</v>
      </c>
      <c r="K22" s="5">
        <v>0</v>
      </c>
      <c r="L22" s="6" t="s">
        <v>27</v>
      </c>
      <c r="M22" s="6">
        <v>0.7</v>
      </c>
      <c r="N22" s="6">
        <v>0.8</v>
      </c>
      <c r="O22" s="6">
        <v>0</v>
      </c>
      <c r="P22" s="6">
        <v>0.85</v>
      </c>
      <c r="Q22" s="6">
        <v>1</v>
      </c>
      <c r="R22" s="6"/>
      <c r="S22" s="6">
        <f>SUM(M22:Q22)</f>
        <v>3.35</v>
      </c>
      <c r="T22" s="6">
        <f>COUNTIFS($Y:$Y, Y22, $S:$S, "&gt;"&amp;S22) + 1</f>
        <v>42</v>
      </c>
      <c r="U22" s="6">
        <f>0.85*E22+T22*0.15</f>
        <v>21.599999999999998</v>
      </c>
      <c r="V22" s="6">
        <f>100.4-0.4*W22</f>
        <v>92</v>
      </c>
      <c r="W22" s="6">
        <f>COUNTIFS($Y:$Y, Y22, $U:$U, "&lt;"&amp;U22) + 1</f>
        <v>21</v>
      </c>
      <c r="X22" s="5">
        <v>64</v>
      </c>
      <c r="Y22" s="6" t="s">
        <v>245</v>
      </c>
      <c r="Z22" s="10"/>
    </row>
    <row r="23" spans="1:26">
      <c r="A23" s="5">
        <v>248</v>
      </c>
      <c r="B23" s="5">
        <v>1120233022</v>
      </c>
      <c r="C23" s="6" t="s">
        <v>193</v>
      </c>
      <c r="D23" s="6" t="str">
        <f>VLOOKUP([1]成绩单!B26,[1]Sheet1!$A:$K,4,0)</f>
        <v>精工2311</v>
      </c>
      <c r="E23" s="5">
        <v>25</v>
      </c>
      <c r="F23" s="7">
        <v>0.390625</v>
      </c>
      <c r="G23" s="8">
        <v>80.255899999999997</v>
      </c>
      <c r="H23" s="5">
        <v>66</v>
      </c>
      <c r="I23" s="9">
        <v>147.5</v>
      </c>
      <c r="J23" s="5">
        <v>0</v>
      </c>
      <c r="K23" s="5">
        <v>0</v>
      </c>
      <c r="L23" s="6" t="s">
        <v>27</v>
      </c>
      <c r="M23" s="6">
        <v>4.0999999999999996</v>
      </c>
      <c r="N23" s="6">
        <v>4.5999999999999996</v>
      </c>
      <c r="O23" s="6">
        <v>5.4</v>
      </c>
      <c r="P23" s="6">
        <v>6.9</v>
      </c>
      <c r="Q23" s="6">
        <v>8.8000000000000007</v>
      </c>
      <c r="R23" s="6"/>
      <c r="S23" s="6">
        <f>SUM(M23:Q23)</f>
        <v>29.8</v>
      </c>
      <c r="T23" s="6">
        <f>COUNTIFS($Y:$Y, Y23, $S:$S, "&gt;"&amp;S23) + 1</f>
        <v>6</v>
      </c>
      <c r="U23" s="6">
        <f>0.85*E23+T23*0.15</f>
        <v>22.15</v>
      </c>
      <c r="V23" s="6">
        <f>100.4-0.4*W23</f>
        <v>91.600000000000009</v>
      </c>
      <c r="W23" s="6">
        <f>COUNTIFS($Y:$Y, Y23, $U:$U, "&lt;"&amp;U23) + 1</f>
        <v>22</v>
      </c>
      <c r="X23" s="5">
        <v>64</v>
      </c>
      <c r="Y23" s="6" t="s">
        <v>245</v>
      </c>
      <c r="Z23" s="10"/>
    </row>
    <row r="24" spans="1:26">
      <c r="A24" s="5">
        <v>249</v>
      </c>
      <c r="B24" s="5">
        <v>1120231422</v>
      </c>
      <c r="C24" s="6" t="s">
        <v>266</v>
      </c>
      <c r="D24" s="6" t="str">
        <f>VLOOKUP([1]成绩单!B27,[1]Sheet1!$A:$K,4,0)</f>
        <v>精工2312</v>
      </c>
      <c r="E24" s="5">
        <v>26</v>
      </c>
      <c r="F24" s="7">
        <v>0.40625</v>
      </c>
      <c r="G24" s="8">
        <v>80.201400000000007</v>
      </c>
      <c r="H24" s="5">
        <v>61</v>
      </c>
      <c r="I24" s="5">
        <v>139</v>
      </c>
      <c r="J24" s="5">
        <v>1</v>
      </c>
      <c r="K24" s="5">
        <v>0</v>
      </c>
      <c r="L24" s="6" t="s">
        <v>27</v>
      </c>
      <c r="M24" s="6">
        <v>4.5</v>
      </c>
      <c r="N24" s="6">
        <v>8.0500000000000007</v>
      </c>
      <c r="O24" s="6">
        <v>8</v>
      </c>
      <c r="P24" s="6">
        <v>6</v>
      </c>
      <c r="Q24" s="6">
        <v>7.64</v>
      </c>
      <c r="R24" s="6"/>
      <c r="S24" s="6">
        <f>SUM(M24:Q24)</f>
        <v>34.19</v>
      </c>
      <c r="T24" s="6">
        <f>COUNTIFS($Y:$Y, Y24, $S:$S, "&gt;"&amp;S24) + 1</f>
        <v>3</v>
      </c>
      <c r="U24" s="6">
        <f>0.85*E24+T24*0.15</f>
        <v>22.549999999999997</v>
      </c>
      <c r="V24" s="6">
        <f>100.4-0.4*W24</f>
        <v>91.2</v>
      </c>
      <c r="W24" s="6">
        <f>COUNTIFS($Y:$Y, Y24, $U:$U, "&lt;"&amp;U24) + 1</f>
        <v>23</v>
      </c>
      <c r="X24" s="5">
        <v>64</v>
      </c>
      <c r="Y24" s="6" t="s">
        <v>245</v>
      </c>
      <c r="Z24" s="10"/>
    </row>
    <row r="25" spans="1:26">
      <c r="A25" s="5">
        <v>250</v>
      </c>
      <c r="B25" s="5">
        <v>1120231657</v>
      </c>
      <c r="C25" s="6" t="s">
        <v>267</v>
      </c>
      <c r="D25" s="6" t="str">
        <f>VLOOKUP([1]成绩单!B23,[1]Sheet1!$A:$K,4,0)</f>
        <v>精工2312</v>
      </c>
      <c r="E25" s="5">
        <v>22</v>
      </c>
      <c r="F25" s="7">
        <v>0.34375</v>
      </c>
      <c r="G25" s="8">
        <v>81.209599999999995</v>
      </c>
      <c r="H25" s="5">
        <v>60</v>
      </c>
      <c r="I25" s="5">
        <v>136</v>
      </c>
      <c r="J25" s="5">
        <v>0</v>
      </c>
      <c r="K25" s="5">
        <v>0</v>
      </c>
      <c r="L25" s="6" t="s">
        <v>27</v>
      </c>
      <c r="M25" s="6">
        <v>2.2000000000000002</v>
      </c>
      <c r="N25" s="6">
        <v>2.6</v>
      </c>
      <c r="O25" s="6">
        <v>2.75</v>
      </c>
      <c r="P25" s="6">
        <v>1.8</v>
      </c>
      <c r="Q25" s="6">
        <v>0</v>
      </c>
      <c r="R25" s="6"/>
      <c r="S25" s="6">
        <f>SUM(M25:Q25)</f>
        <v>9.3500000000000014</v>
      </c>
      <c r="T25" s="6">
        <f>COUNTIFS($Y:$Y, Y25, $S:$S, "&gt;"&amp;S25) + 1</f>
        <v>28</v>
      </c>
      <c r="U25" s="6">
        <f>0.85*E25+T25*0.15</f>
        <v>22.9</v>
      </c>
      <c r="V25" s="6">
        <f>100.4-0.4*W25</f>
        <v>90.800000000000011</v>
      </c>
      <c r="W25" s="6">
        <f>COUNTIFS($Y:$Y, Y25, $U:$U, "&lt;"&amp;U25) + 1</f>
        <v>24</v>
      </c>
      <c r="X25" s="5">
        <v>64</v>
      </c>
      <c r="Y25" s="6" t="s">
        <v>245</v>
      </c>
      <c r="Z25" s="10"/>
    </row>
    <row r="26" spans="1:26">
      <c r="A26" s="5">
        <v>251</v>
      </c>
      <c r="B26" s="12">
        <v>1120232289</v>
      </c>
      <c r="C26" s="13" t="s">
        <v>268</v>
      </c>
      <c r="D26" s="6" t="str">
        <f>VLOOKUP([1]成绩单!B29,[1]Sheet1!$A:$K,4,0)</f>
        <v>精工2312</v>
      </c>
      <c r="E26" s="12">
        <v>28</v>
      </c>
      <c r="F26" s="14">
        <v>0.4375</v>
      </c>
      <c r="G26" s="15">
        <v>78.587500000000006</v>
      </c>
      <c r="H26" s="12">
        <v>62</v>
      </c>
      <c r="I26" s="12">
        <v>140</v>
      </c>
      <c r="J26" s="12">
        <v>2</v>
      </c>
      <c r="K26" s="12">
        <v>2</v>
      </c>
      <c r="L26" s="13" t="s">
        <v>27</v>
      </c>
      <c r="M26" s="6">
        <v>3</v>
      </c>
      <c r="N26" s="6">
        <v>4</v>
      </c>
      <c r="O26" s="6">
        <v>10</v>
      </c>
      <c r="P26" s="6">
        <v>6.8</v>
      </c>
      <c r="Q26" s="6">
        <v>5</v>
      </c>
      <c r="R26" s="13"/>
      <c r="S26" s="6">
        <f>SUM(M26:Q26)</f>
        <v>28.8</v>
      </c>
      <c r="T26" s="6">
        <f>COUNTIFS($Y:$Y, Y26, $S:$S, "&gt;"&amp;S26) + 1</f>
        <v>7</v>
      </c>
      <c r="U26" s="6">
        <f>0.85*E26+T26*0.15</f>
        <v>24.85</v>
      </c>
      <c r="V26" s="6">
        <f>100.4-0.4*W26</f>
        <v>90.4</v>
      </c>
      <c r="W26" s="6">
        <f>COUNTIFS($Y:$Y, Y26, $U:$U, "&lt;"&amp;U26) + 1</f>
        <v>25</v>
      </c>
      <c r="X26" s="12">
        <v>64</v>
      </c>
      <c r="Y26" s="13" t="s">
        <v>245</v>
      </c>
      <c r="Z26" s="17"/>
    </row>
    <row r="27" spans="1:26">
      <c r="A27" s="5">
        <v>252</v>
      </c>
      <c r="B27" s="5">
        <v>1120232211</v>
      </c>
      <c r="C27" s="6" t="s">
        <v>269</v>
      </c>
      <c r="D27" s="6" t="str">
        <f>VLOOKUP([1]成绩单!B32,[1]Sheet1!$A:$K,4,0)</f>
        <v>精工2310</v>
      </c>
      <c r="E27" s="5">
        <v>31</v>
      </c>
      <c r="F27" s="7">
        <v>0.484375</v>
      </c>
      <c r="G27" s="8">
        <v>75.2821</v>
      </c>
      <c r="H27" s="5">
        <v>62</v>
      </c>
      <c r="I27" s="5">
        <v>140</v>
      </c>
      <c r="J27" s="5">
        <v>1</v>
      </c>
      <c r="K27" s="5">
        <v>1</v>
      </c>
      <c r="L27" s="6" t="s">
        <v>27</v>
      </c>
      <c r="M27" s="6">
        <v>6.25</v>
      </c>
      <c r="N27" s="6">
        <v>7.2</v>
      </c>
      <c r="O27" s="6">
        <v>8.4</v>
      </c>
      <c r="P27" s="6">
        <v>6.2</v>
      </c>
      <c r="Q27" s="6">
        <v>3.8</v>
      </c>
      <c r="R27" s="6"/>
      <c r="S27" s="6">
        <f>SUM(M27:Q27)</f>
        <v>31.85</v>
      </c>
      <c r="T27" s="6">
        <f>COUNTIFS($Y:$Y, Y27, $S:$S, "&gt;"&amp;S27) + 1</f>
        <v>5</v>
      </c>
      <c r="U27" s="6">
        <f>0.85*E27+T27*0.15</f>
        <v>27.099999999999998</v>
      </c>
      <c r="V27" s="6">
        <f>100.4-0.4*W27</f>
        <v>90</v>
      </c>
      <c r="W27" s="6">
        <f>COUNTIFS($Y:$Y, Y27, $U:$U, "&lt;"&amp;U27) + 1</f>
        <v>26</v>
      </c>
      <c r="X27" s="5">
        <v>64</v>
      </c>
      <c r="Y27" s="6" t="s">
        <v>245</v>
      </c>
      <c r="Z27" s="10"/>
    </row>
    <row r="28" spans="1:26">
      <c r="A28" s="5">
        <v>253</v>
      </c>
      <c r="B28" s="5">
        <v>1120231764</v>
      </c>
      <c r="C28" s="6" t="s">
        <v>270</v>
      </c>
      <c r="D28" s="6" t="str">
        <f>VLOOKUP([1]成绩单!B31,[1]Sheet1!$A:$K,4,0)</f>
        <v>精工2313</v>
      </c>
      <c r="E28" s="5">
        <v>30</v>
      </c>
      <c r="F28" s="7">
        <v>0.46875</v>
      </c>
      <c r="G28" s="8">
        <v>75.8</v>
      </c>
      <c r="H28" s="5">
        <v>62</v>
      </c>
      <c r="I28" s="5">
        <v>140</v>
      </c>
      <c r="J28" s="5">
        <v>1</v>
      </c>
      <c r="K28" s="5">
        <v>0</v>
      </c>
      <c r="L28" s="6" t="s">
        <v>27</v>
      </c>
      <c r="M28" s="6">
        <v>1.3</v>
      </c>
      <c r="N28" s="6">
        <v>2.2999999999999998</v>
      </c>
      <c r="O28" s="6">
        <v>4</v>
      </c>
      <c r="P28" s="6">
        <v>5.64</v>
      </c>
      <c r="Q28" s="6">
        <v>2</v>
      </c>
      <c r="R28" s="6"/>
      <c r="S28" s="6">
        <f>SUM(M28:Q28)</f>
        <v>15.239999999999998</v>
      </c>
      <c r="T28" s="6">
        <f>COUNTIFS($Y:$Y, Y28, $S:$S, "&gt;"&amp;S28) + 1</f>
        <v>18</v>
      </c>
      <c r="U28" s="6">
        <f>0.85*E28+T28*0.15</f>
        <v>28.2</v>
      </c>
      <c r="V28" s="6">
        <f>100.4-0.4*W28</f>
        <v>89.600000000000009</v>
      </c>
      <c r="W28" s="6">
        <f>COUNTIFS($Y:$Y, Y28, $U:$U, "&lt;"&amp;U28) + 1</f>
        <v>27</v>
      </c>
      <c r="X28" s="5">
        <v>64</v>
      </c>
      <c r="Y28" s="6" t="s">
        <v>245</v>
      </c>
      <c r="Z28" s="10"/>
    </row>
    <row r="29" spans="1:26">
      <c r="A29" s="5">
        <v>254</v>
      </c>
      <c r="B29" s="5">
        <v>1120231285</v>
      </c>
      <c r="C29" s="6" t="s">
        <v>271</v>
      </c>
      <c r="D29" s="6" t="str">
        <f>VLOOKUP([1]成绩单!B24,[1]Sheet1!$A:$K,4,0)</f>
        <v>精工2312</v>
      </c>
      <c r="E29" s="5">
        <v>23</v>
      </c>
      <c r="F29" s="7">
        <v>0.359375</v>
      </c>
      <c r="G29" s="8">
        <v>80.996399999999994</v>
      </c>
      <c r="H29" s="5">
        <v>61</v>
      </c>
      <c r="I29" s="5">
        <v>139</v>
      </c>
      <c r="J29" s="5">
        <v>0</v>
      </c>
      <c r="K29" s="5">
        <v>0</v>
      </c>
      <c r="L29" s="6" t="s">
        <v>27</v>
      </c>
      <c r="M29" s="6">
        <v>0</v>
      </c>
      <c r="N29" s="6">
        <v>-0.5</v>
      </c>
      <c r="O29" s="6">
        <v>0</v>
      </c>
      <c r="P29" s="6">
        <v>0</v>
      </c>
      <c r="Q29" s="6">
        <v>0</v>
      </c>
      <c r="R29" s="6"/>
      <c r="S29" s="6">
        <f>SUM(M29:Q29)</f>
        <v>-0.5</v>
      </c>
      <c r="T29" s="6">
        <f>COUNTIFS($Y:$Y, Y29, $S:$S, "&gt;"&amp;S29) + 1</f>
        <v>63</v>
      </c>
      <c r="U29" s="6">
        <f>0.85*E29+T29*0.15</f>
        <v>29</v>
      </c>
      <c r="V29" s="6">
        <f>100.4-0.4*W29</f>
        <v>89.2</v>
      </c>
      <c r="W29" s="6">
        <f>COUNTIFS($Y:$Y, Y29, $U:$U, "&lt;"&amp;U29) + 1</f>
        <v>28</v>
      </c>
      <c r="X29" s="5">
        <v>64</v>
      </c>
      <c r="Y29" s="6" t="s">
        <v>245</v>
      </c>
      <c r="Z29" s="10"/>
    </row>
    <row r="30" spans="1:26">
      <c r="A30" s="5">
        <v>255</v>
      </c>
      <c r="B30" s="5">
        <v>1120232904</v>
      </c>
      <c r="C30" s="6" t="s">
        <v>272</v>
      </c>
      <c r="D30" s="6" t="str">
        <f>VLOOKUP([1]成绩单!B30,[1]Sheet1!$A:$K,4,0)</f>
        <v>精工2310</v>
      </c>
      <c r="E30" s="5">
        <v>29</v>
      </c>
      <c r="F30" s="7">
        <v>0.453125</v>
      </c>
      <c r="G30" s="8">
        <v>77.487099999999998</v>
      </c>
      <c r="H30" s="5">
        <v>60</v>
      </c>
      <c r="I30" s="5">
        <v>136</v>
      </c>
      <c r="J30" s="5">
        <v>0</v>
      </c>
      <c r="K30" s="5">
        <v>0</v>
      </c>
      <c r="L30" s="6" t="s">
        <v>27</v>
      </c>
      <c r="M30" s="6">
        <v>1</v>
      </c>
      <c r="N30" s="6">
        <v>2</v>
      </c>
      <c r="O30" s="6">
        <v>2</v>
      </c>
      <c r="P30" s="6">
        <v>2.5</v>
      </c>
      <c r="Q30" s="6">
        <v>1</v>
      </c>
      <c r="R30" s="6"/>
      <c r="S30" s="6">
        <f>SUM(M30:Q30)</f>
        <v>8.5</v>
      </c>
      <c r="T30" s="6">
        <f>COUNTIFS($Y:$Y, Y30, $S:$S, "&gt;"&amp;S30) + 1</f>
        <v>30</v>
      </c>
      <c r="U30" s="6">
        <f>0.85*E30+T30*0.15</f>
        <v>29.15</v>
      </c>
      <c r="V30" s="6">
        <f>100.4-0.4*W30</f>
        <v>88.800000000000011</v>
      </c>
      <c r="W30" s="6">
        <f>COUNTIFS($Y:$Y, Y30, $U:$U, "&lt;"&amp;U30) + 1</f>
        <v>29</v>
      </c>
      <c r="X30" s="5">
        <v>64</v>
      </c>
      <c r="Y30" s="6" t="s">
        <v>245</v>
      </c>
      <c r="Z30" s="10"/>
    </row>
    <row r="31" spans="1:26">
      <c r="A31" s="5">
        <v>256</v>
      </c>
      <c r="B31" s="5">
        <v>1120230419</v>
      </c>
      <c r="C31" s="6" t="s">
        <v>273</v>
      </c>
      <c r="D31" s="6" t="str">
        <f>VLOOKUP([1]成绩单!B33,[1]Sheet1!$A:$K,4,0)</f>
        <v>精工2312</v>
      </c>
      <c r="E31" s="5">
        <v>32</v>
      </c>
      <c r="F31" s="7">
        <v>0.5</v>
      </c>
      <c r="G31" s="8">
        <v>75.091700000000003</v>
      </c>
      <c r="H31" s="5">
        <v>61</v>
      </c>
      <c r="I31" s="5">
        <v>139</v>
      </c>
      <c r="J31" s="5">
        <v>2</v>
      </c>
      <c r="K31" s="5">
        <v>1</v>
      </c>
      <c r="L31" s="6" t="s">
        <v>27</v>
      </c>
      <c r="M31" s="6">
        <v>2.2000000000000002</v>
      </c>
      <c r="N31" s="6">
        <v>2.8</v>
      </c>
      <c r="O31" s="6">
        <v>3.7</v>
      </c>
      <c r="P31" s="6">
        <v>4.7</v>
      </c>
      <c r="Q31" s="6">
        <v>9.1</v>
      </c>
      <c r="R31" s="6"/>
      <c r="S31" s="6">
        <f>SUM(M31:Q31)</f>
        <v>22.5</v>
      </c>
      <c r="T31" s="6">
        <f>COUNTIFS($Y:$Y, Y31, $S:$S, "&gt;"&amp;S31) + 1</f>
        <v>14</v>
      </c>
      <c r="U31" s="6">
        <f>0.85*E31+T31*0.15</f>
        <v>29.3</v>
      </c>
      <c r="V31" s="6">
        <f>100.4-0.4*W31</f>
        <v>88.4</v>
      </c>
      <c r="W31" s="6">
        <f>COUNTIFS($Y:$Y, Y31, $U:$U, "&lt;"&amp;U31) + 1</f>
        <v>30</v>
      </c>
      <c r="X31" s="5">
        <v>64</v>
      </c>
      <c r="Y31" s="6" t="s">
        <v>245</v>
      </c>
      <c r="Z31" s="10"/>
    </row>
    <row r="32" spans="1:26">
      <c r="A32" s="5">
        <v>257</v>
      </c>
      <c r="B32" s="5">
        <v>1120231445</v>
      </c>
      <c r="C32" s="6" t="s">
        <v>274</v>
      </c>
      <c r="D32" s="6" t="str">
        <f>VLOOKUP([1]成绩单!B28,[1]Sheet1!$A:$K,4,0)</f>
        <v>精工2313</v>
      </c>
      <c r="E32" s="5">
        <v>27</v>
      </c>
      <c r="F32" s="7">
        <v>0.421875</v>
      </c>
      <c r="G32" s="8">
        <v>78.8065</v>
      </c>
      <c r="H32" s="5">
        <v>62</v>
      </c>
      <c r="I32" s="9">
        <v>139.5</v>
      </c>
      <c r="J32" s="5">
        <v>0</v>
      </c>
      <c r="K32" s="5">
        <v>0</v>
      </c>
      <c r="L32" s="6" t="s">
        <v>27</v>
      </c>
      <c r="M32" s="6">
        <v>0</v>
      </c>
      <c r="N32" s="6">
        <v>0</v>
      </c>
      <c r="O32" s="6">
        <v>1.5</v>
      </c>
      <c r="P32" s="6">
        <v>0.9</v>
      </c>
      <c r="Q32" s="6">
        <v>0.9</v>
      </c>
      <c r="R32" s="6"/>
      <c r="S32" s="6">
        <f>SUM(M32:Q32)</f>
        <v>3.3</v>
      </c>
      <c r="T32" s="6">
        <f>COUNTIFS($Y:$Y, Y32, $S:$S, "&gt;"&amp;S32) + 1</f>
        <v>43</v>
      </c>
      <c r="U32" s="6">
        <f>0.85*E32+T32*0.15</f>
        <v>29.4</v>
      </c>
      <c r="V32" s="6">
        <f>100.4-0.4*W32</f>
        <v>88</v>
      </c>
      <c r="W32" s="6">
        <f>COUNTIFS($Y:$Y, Y32, $U:$U, "&lt;"&amp;U32) + 1</f>
        <v>31</v>
      </c>
      <c r="X32" s="5">
        <v>64</v>
      </c>
      <c r="Y32" s="6" t="s">
        <v>245</v>
      </c>
      <c r="Z32" s="10"/>
    </row>
    <row r="33" spans="1:26">
      <c r="A33" s="5">
        <v>258</v>
      </c>
      <c r="B33" s="5">
        <v>1120231782</v>
      </c>
      <c r="C33" s="6" t="s">
        <v>275</v>
      </c>
      <c r="D33" s="6" t="str">
        <f>VLOOKUP([1]成绩单!B25,[1]Sheet1!$A:$K,4,0)</f>
        <v>精工2312</v>
      </c>
      <c r="E33" s="5">
        <v>24</v>
      </c>
      <c r="F33" s="7">
        <v>0.375</v>
      </c>
      <c r="G33" s="8">
        <v>80.617599999999996</v>
      </c>
      <c r="H33" s="5">
        <v>64</v>
      </c>
      <c r="I33" s="9">
        <v>144.5</v>
      </c>
      <c r="J33" s="5">
        <v>0</v>
      </c>
      <c r="K33" s="5">
        <v>0</v>
      </c>
      <c r="L33" s="6" t="s">
        <v>27</v>
      </c>
      <c r="M33" s="6">
        <v>0.2</v>
      </c>
      <c r="N33" s="6">
        <v>0</v>
      </c>
      <c r="O33" s="6">
        <v>0.2</v>
      </c>
      <c r="P33" s="6">
        <v>-0.8</v>
      </c>
      <c r="Q33" s="6">
        <v>0.2</v>
      </c>
      <c r="R33" s="6"/>
      <c r="S33" s="6">
        <f>SUM(M33:Q33)</f>
        <v>-0.2</v>
      </c>
      <c r="T33" s="6">
        <f>COUNTIFS($Y:$Y, Y33, $S:$S, "&gt;"&amp;S33) + 1</f>
        <v>62</v>
      </c>
      <c r="U33" s="6">
        <f>0.85*E33+T33*0.15</f>
        <v>29.699999999999996</v>
      </c>
      <c r="V33" s="6">
        <f>100.4-0.4*W33</f>
        <v>87.600000000000009</v>
      </c>
      <c r="W33" s="6">
        <f>COUNTIFS($Y:$Y, Y33, $U:$U, "&lt;"&amp;U33) + 1</f>
        <v>32</v>
      </c>
      <c r="X33" s="5">
        <v>64</v>
      </c>
      <c r="Y33" s="6" t="s">
        <v>245</v>
      </c>
      <c r="Z33" s="10"/>
    </row>
    <row r="34" spans="1:26">
      <c r="A34" s="5">
        <v>259</v>
      </c>
      <c r="B34" s="5">
        <v>1120231268</v>
      </c>
      <c r="C34" s="6" t="s">
        <v>276</v>
      </c>
      <c r="D34" s="6" t="str">
        <f>VLOOKUP([1]成绩单!B37,[1]Sheet1!$A:$K,4,0)</f>
        <v>精工2313</v>
      </c>
      <c r="E34" s="5">
        <v>36</v>
      </c>
      <c r="F34" s="7">
        <v>0.5625</v>
      </c>
      <c r="G34" s="8">
        <v>74.058499999999995</v>
      </c>
      <c r="H34" s="5">
        <v>63</v>
      </c>
      <c r="I34" s="5">
        <v>141</v>
      </c>
      <c r="J34" s="5">
        <v>2</v>
      </c>
      <c r="K34" s="5">
        <v>2</v>
      </c>
      <c r="L34" s="6" t="s">
        <v>27</v>
      </c>
      <c r="M34" s="6">
        <v>1.7</v>
      </c>
      <c r="N34" s="6">
        <v>3</v>
      </c>
      <c r="O34" s="6">
        <v>3.5</v>
      </c>
      <c r="P34" s="6">
        <v>1.5</v>
      </c>
      <c r="Q34" s="6">
        <v>2.2000000000000002</v>
      </c>
      <c r="R34" s="6"/>
      <c r="S34" s="6">
        <f>SUM(M34:Q34)</f>
        <v>11.899999999999999</v>
      </c>
      <c r="T34" s="6">
        <f>COUNTIFS($Y:$Y, Y34, $S:$S, "&gt;"&amp;S34) + 1</f>
        <v>21</v>
      </c>
      <c r="U34" s="6">
        <f>0.85*E34+T34*0.15</f>
        <v>33.75</v>
      </c>
      <c r="V34" s="6">
        <f>100.4-0.4*W34</f>
        <v>87.2</v>
      </c>
      <c r="W34" s="6">
        <f>COUNTIFS($Y:$Y, Y34, $U:$U, "&lt;"&amp;U34) + 1</f>
        <v>33</v>
      </c>
      <c r="X34" s="5">
        <v>64</v>
      </c>
      <c r="Y34" s="6" t="s">
        <v>245</v>
      </c>
      <c r="Z34" s="10"/>
    </row>
    <row r="35" spans="1:26">
      <c r="A35" s="5">
        <v>260</v>
      </c>
      <c r="B35" s="5">
        <v>1120230215</v>
      </c>
      <c r="C35" s="6" t="s">
        <v>277</v>
      </c>
      <c r="D35" s="6" t="str">
        <f>VLOOKUP([1]成绩单!B35,[1]Sheet1!$A:$K,4,0)</f>
        <v>精工2310</v>
      </c>
      <c r="E35" s="5">
        <v>34</v>
      </c>
      <c r="F35" s="7">
        <v>0.53125</v>
      </c>
      <c r="G35" s="8">
        <v>74.782200000000003</v>
      </c>
      <c r="H35" s="5">
        <v>64</v>
      </c>
      <c r="I35" s="9">
        <v>143.5</v>
      </c>
      <c r="J35" s="5">
        <v>1</v>
      </c>
      <c r="K35" s="5">
        <v>1</v>
      </c>
      <c r="L35" s="6" t="s">
        <v>27</v>
      </c>
      <c r="M35" s="6">
        <v>2.7</v>
      </c>
      <c r="N35" s="6">
        <v>0.77500000000000002</v>
      </c>
      <c r="O35" s="6">
        <v>1.4</v>
      </c>
      <c r="P35" s="6">
        <v>0.2</v>
      </c>
      <c r="Q35" s="6">
        <v>1.2</v>
      </c>
      <c r="R35" s="6"/>
      <c r="S35" s="6">
        <f>SUM(M35:Q35)</f>
        <v>6.2750000000000004</v>
      </c>
      <c r="T35" s="6">
        <f>COUNTIFS($Y:$Y, Y35, $S:$S, "&gt;"&amp;S35) + 1</f>
        <v>34</v>
      </c>
      <c r="U35" s="6">
        <f>0.85*E35+T35*0.15</f>
        <v>34</v>
      </c>
      <c r="V35" s="6">
        <f>100.4-0.4*W35</f>
        <v>86.800000000000011</v>
      </c>
      <c r="W35" s="6">
        <f>COUNTIFS($Y:$Y, Y35, $U:$U, "&lt;"&amp;U35) + 1</f>
        <v>34</v>
      </c>
      <c r="X35" s="5">
        <v>64</v>
      </c>
      <c r="Y35" s="6" t="s">
        <v>245</v>
      </c>
      <c r="Z35" s="10"/>
    </row>
    <row r="36" spans="1:26">
      <c r="A36" s="5">
        <v>261</v>
      </c>
      <c r="B36" s="5">
        <v>1120231427</v>
      </c>
      <c r="C36" s="6" t="s">
        <v>278</v>
      </c>
      <c r="D36" s="6" t="str">
        <f>VLOOKUP([1]成绩单!B34,[1]Sheet1!$A:$K,4,0)</f>
        <v>精工2310</v>
      </c>
      <c r="E36" s="5">
        <v>33</v>
      </c>
      <c r="F36" s="7">
        <v>0.515625</v>
      </c>
      <c r="G36" s="8">
        <v>75.052199999999999</v>
      </c>
      <c r="H36" s="5">
        <v>62</v>
      </c>
      <c r="I36" s="5">
        <v>139</v>
      </c>
      <c r="J36" s="5">
        <v>2</v>
      </c>
      <c r="K36" s="5">
        <v>2</v>
      </c>
      <c r="L36" s="6" t="s">
        <v>27</v>
      </c>
      <c r="M36" s="6">
        <v>2.1</v>
      </c>
      <c r="N36" s="6">
        <v>0.2</v>
      </c>
      <c r="O36" s="6">
        <v>0</v>
      </c>
      <c r="P36" s="6">
        <v>0</v>
      </c>
      <c r="Q36" s="6">
        <v>0</v>
      </c>
      <c r="R36" s="6"/>
      <c r="S36" s="6">
        <f>SUM(M36:Q36)</f>
        <v>2.3000000000000003</v>
      </c>
      <c r="T36" s="6">
        <f>COUNTIFS($Y:$Y, Y36, $S:$S, "&gt;"&amp;S36) + 1</f>
        <v>47</v>
      </c>
      <c r="U36" s="6">
        <f>0.85*E36+T36*0.15</f>
        <v>35.1</v>
      </c>
      <c r="V36" s="6">
        <f>100.4-0.4*W36</f>
        <v>86.4</v>
      </c>
      <c r="W36" s="6">
        <f>COUNTIFS($Y:$Y, Y36, $U:$U, "&lt;"&amp;U36) + 1</f>
        <v>35</v>
      </c>
      <c r="X36" s="5">
        <v>64</v>
      </c>
      <c r="Y36" s="6" t="s">
        <v>245</v>
      </c>
      <c r="Z36" s="10"/>
    </row>
    <row r="37" spans="1:26">
      <c r="A37" s="5">
        <v>262</v>
      </c>
      <c r="B37" s="5">
        <v>1120233390</v>
      </c>
      <c r="C37" s="6" t="s">
        <v>279</v>
      </c>
      <c r="D37" s="6" t="str">
        <f>VLOOKUP([1]成绩单!B38,[1]Sheet1!$A:$K,4,0)</f>
        <v>精工2311</v>
      </c>
      <c r="E37" s="5">
        <v>37</v>
      </c>
      <c r="F37" s="7">
        <v>0.578125</v>
      </c>
      <c r="G37" s="8">
        <v>73.776799999999994</v>
      </c>
      <c r="H37" s="5">
        <v>62</v>
      </c>
      <c r="I37" s="5">
        <v>140</v>
      </c>
      <c r="J37" s="5">
        <v>2</v>
      </c>
      <c r="K37" s="5">
        <v>2</v>
      </c>
      <c r="L37" s="6" t="s">
        <v>27</v>
      </c>
      <c r="M37" s="6">
        <v>2.8</v>
      </c>
      <c r="N37" s="6">
        <v>2</v>
      </c>
      <c r="O37" s="6">
        <v>2.2999999999999998</v>
      </c>
      <c r="P37" s="6">
        <v>2.2999999999999998</v>
      </c>
      <c r="Q37" s="6">
        <v>1</v>
      </c>
      <c r="R37" s="6"/>
      <c r="S37" s="6">
        <f>SUM(M37:Q37)</f>
        <v>10.399999999999999</v>
      </c>
      <c r="T37" s="6">
        <f>COUNTIFS($Y:$Y, Y37, $S:$S, "&gt;"&amp;S37) + 1</f>
        <v>25</v>
      </c>
      <c r="U37" s="6">
        <f>0.85*E37+T37*0.15</f>
        <v>35.200000000000003</v>
      </c>
      <c r="V37" s="6">
        <f>100.4-0.4*W37</f>
        <v>86</v>
      </c>
      <c r="W37" s="6">
        <f>COUNTIFS($Y:$Y, Y37, $U:$U, "&lt;"&amp;U37) + 1</f>
        <v>36</v>
      </c>
      <c r="X37" s="5">
        <v>64</v>
      </c>
      <c r="Y37" s="6" t="s">
        <v>245</v>
      </c>
      <c r="Z37" s="10"/>
    </row>
    <row r="38" spans="1:26">
      <c r="A38" s="5">
        <v>263</v>
      </c>
      <c r="B38" s="5">
        <v>1120232759</v>
      </c>
      <c r="C38" s="6" t="s">
        <v>280</v>
      </c>
      <c r="D38" s="6" t="str">
        <f>VLOOKUP([1]成绩单!B36,[1]Sheet1!$A:$K,4,0)</f>
        <v>精工2311</v>
      </c>
      <c r="E38" s="5">
        <v>35</v>
      </c>
      <c r="F38" s="7">
        <v>0.546875</v>
      </c>
      <c r="G38" s="8">
        <v>74.501800000000003</v>
      </c>
      <c r="H38" s="5">
        <v>60</v>
      </c>
      <c r="I38" s="5">
        <v>136</v>
      </c>
      <c r="J38" s="5">
        <v>0</v>
      </c>
      <c r="K38" s="5">
        <v>0</v>
      </c>
      <c r="L38" s="6" t="s">
        <v>27</v>
      </c>
      <c r="M38" s="6">
        <v>2.5</v>
      </c>
      <c r="N38" s="6">
        <v>-0.1</v>
      </c>
      <c r="O38" s="6">
        <v>1</v>
      </c>
      <c r="P38" s="6">
        <v>0.1</v>
      </c>
      <c r="Q38" s="6">
        <v>1</v>
      </c>
      <c r="R38" s="6"/>
      <c r="S38" s="6">
        <f>SUM(M38:Q38)</f>
        <v>4.5</v>
      </c>
      <c r="T38" s="6">
        <f>COUNTIFS($Y:$Y, Y38, $S:$S, "&gt;"&amp;S38) + 1</f>
        <v>39</v>
      </c>
      <c r="U38" s="6">
        <f>0.85*E38+T38*0.15</f>
        <v>35.6</v>
      </c>
      <c r="V38" s="6">
        <f>100.4-0.4*W38</f>
        <v>85.600000000000009</v>
      </c>
      <c r="W38" s="6">
        <f>COUNTIFS($Y:$Y, Y38, $U:$U, "&lt;"&amp;U38) + 1</f>
        <v>37</v>
      </c>
      <c r="X38" s="5">
        <v>64</v>
      </c>
      <c r="Y38" s="6" t="s">
        <v>245</v>
      </c>
      <c r="Z38" s="10"/>
    </row>
    <row r="39" spans="1:26">
      <c r="A39" s="5">
        <v>264</v>
      </c>
      <c r="B39" s="5">
        <v>1120232520</v>
      </c>
      <c r="C39" s="6" t="s">
        <v>281</v>
      </c>
      <c r="D39" s="6" t="str">
        <f>VLOOKUP([1]成绩单!B40,[1]Sheet1!$A:$K,4,0)</f>
        <v>精工2312</v>
      </c>
      <c r="E39" s="5">
        <v>39</v>
      </c>
      <c r="F39" s="7">
        <v>0.609375</v>
      </c>
      <c r="G39" s="8">
        <v>72.1661</v>
      </c>
      <c r="H39" s="5">
        <v>63</v>
      </c>
      <c r="I39" s="5">
        <v>143</v>
      </c>
      <c r="J39" s="5">
        <v>3</v>
      </c>
      <c r="K39" s="5">
        <v>3</v>
      </c>
      <c r="L39" s="6" t="s">
        <v>27</v>
      </c>
      <c r="M39" s="6">
        <v>1.3</v>
      </c>
      <c r="N39" s="6">
        <v>1.5</v>
      </c>
      <c r="O39" s="6">
        <v>3.3</v>
      </c>
      <c r="P39" s="6">
        <v>2.5</v>
      </c>
      <c r="Q39" s="6">
        <v>0</v>
      </c>
      <c r="R39" s="6"/>
      <c r="S39" s="6">
        <f>SUM(M39:Q39)</f>
        <v>8.6</v>
      </c>
      <c r="T39" s="6">
        <f>COUNTIFS($Y:$Y, Y39, $S:$S, "&gt;"&amp;S39) + 1</f>
        <v>29</v>
      </c>
      <c r="U39" s="6">
        <f>0.85*E39+T39*0.15</f>
        <v>37.5</v>
      </c>
      <c r="V39" s="6">
        <f>100.4-0.4*W39</f>
        <v>85.2</v>
      </c>
      <c r="W39" s="6">
        <f>COUNTIFS($Y:$Y, Y39, $U:$U, "&lt;"&amp;U39) + 1</f>
        <v>38</v>
      </c>
      <c r="X39" s="5">
        <v>64</v>
      </c>
      <c r="Y39" s="6" t="s">
        <v>245</v>
      </c>
      <c r="Z39" s="10"/>
    </row>
    <row r="40" spans="1:26">
      <c r="A40" s="5">
        <v>265</v>
      </c>
      <c r="B40" s="5">
        <v>1120232882</v>
      </c>
      <c r="C40" s="6" t="s">
        <v>282</v>
      </c>
      <c r="D40" s="6" t="str">
        <f>VLOOKUP([1]成绩单!B39,[1]Sheet1!$A:$K,4,0)</f>
        <v>精工2310</v>
      </c>
      <c r="E40" s="5">
        <v>38</v>
      </c>
      <c r="F40" s="7">
        <v>0.59375</v>
      </c>
      <c r="G40" s="8">
        <v>73.025199999999998</v>
      </c>
      <c r="H40" s="5">
        <v>61</v>
      </c>
      <c r="I40" s="5">
        <v>139</v>
      </c>
      <c r="J40" s="5">
        <v>3</v>
      </c>
      <c r="K40" s="5">
        <v>1</v>
      </c>
      <c r="L40" s="6" t="s">
        <v>27</v>
      </c>
      <c r="M40" s="6">
        <v>1.25</v>
      </c>
      <c r="N40" s="6">
        <v>0</v>
      </c>
      <c r="O40" s="6">
        <v>1</v>
      </c>
      <c r="P40" s="6">
        <v>0</v>
      </c>
      <c r="Q40" s="6">
        <v>1</v>
      </c>
      <c r="R40" s="6"/>
      <c r="S40" s="6">
        <f>SUM(M40:Q40)</f>
        <v>3.25</v>
      </c>
      <c r="T40" s="6">
        <f>COUNTIFS($Y:$Y, Y40, $S:$S, "&gt;"&amp;S40) + 1</f>
        <v>44</v>
      </c>
      <c r="U40" s="6">
        <f>0.85*E40+T40*0.15</f>
        <v>38.9</v>
      </c>
      <c r="V40" s="6">
        <f>100.4-0.4*W40</f>
        <v>84.800000000000011</v>
      </c>
      <c r="W40" s="6">
        <f>COUNTIFS($Y:$Y, Y40, $U:$U, "&lt;"&amp;U40) + 1</f>
        <v>39</v>
      </c>
      <c r="X40" s="5">
        <v>64</v>
      </c>
      <c r="Y40" s="6" t="s">
        <v>245</v>
      </c>
      <c r="Z40" s="10"/>
    </row>
    <row r="41" spans="1:26">
      <c r="A41" s="5">
        <v>266</v>
      </c>
      <c r="B41" s="5">
        <v>1120232894</v>
      </c>
      <c r="C41" s="6" t="s">
        <v>283</v>
      </c>
      <c r="D41" s="6" t="str">
        <f>VLOOKUP([1]成绩单!B42,[1]Sheet1!$A:$K,4,0)</f>
        <v>精工2310</v>
      </c>
      <c r="E41" s="5">
        <v>41</v>
      </c>
      <c r="F41" s="7">
        <v>0.640625</v>
      </c>
      <c r="G41" s="8">
        <v>69.259299999999996</v>
      </c>
      <c r="H41" s="5">
        <v>59</v>
      </c>
      <c r="I41" s="5">
        <v>135</v>
      </c>
      <c r="J41" s="5">
        <v>3</v>
      </c>
      <c r="K41" s="5">
        <v>3</v>
      </c>
      <c r="L41" s="6" t="s">
        <v>27</v>
      </c>
      <c r="M41" s="6">
        <v>4.2</v>
      </c>
      <c r="N41" s="6">
        <v>2.5</v>
      </c>
      <c r="O41" s="6">
        <v>1</v>
      </c>
      <c r="P41" s="6">
        <v>0.5</v>
      </c>
      <c r="Q41" s="6">
        <v>0</v>
      </c>
      <c r="R41" s="6"/>
      <c r="S41" s="6">
        <f>SUM(M41:Q41)</f>
        <v>8.1999999999999993</v>
      </c>
      <c r="T41" s="6">
        <f>COUNTIFS($Y:$Y, Y41, $S:$S, "&gt;"&amp;S41) + 1</f>
        <v>31</v>
      </c>
      <c r="U41" s="6">
        <f>0.85*E41+T41*0.15</f>
        <v>39.5</v>
      </c>
      <c r="V41" s="6">
        <f>100.4-0.4*W41</f>
        <v>84.4</v>
      </c>
      <c r="W41" s="6">
        <f>COUNTIFS($Y:$Y, Y41, $U:$U, "&lt;"&amp;U41) + 1</f>
        <v>40</v>
      </c>
      <c r="X41" s="5">
        <v>64</v>
      </c>
      <c r="Y41" s="6" t="s">
        <v>245</v>
      </c>
      <c r="Z41" s="10"/>
    </row>
    <row r="42" spans="1:26">
      <c r="A42" s="5">
        <v>267</v>
      </c>
      <c r="B42" s="5">
        <v>1120232910</v>
      </c>
      <c r="C42" s="6" t="s">
        <v>284</v>
      </c>
      <c r="D42" s="6" t="str">
        <f>VLOOKUP([1]成绩单!B45,[1]Sheet1!$A:$K,4,0)</f>
        <v>精工2310</v>
      </c>
      <c r="E42" s="5">
        <v>44</v>
      </c>
      <c r="F42" s="7">
        <v>0.6875</v>
      </c>
      <c r="G42" s="8">
        <v>67.466099999999997</v>
      </c>
      <c r="H42" s="5">
        <v>62</v>
      </c>
      <c r="I42" s="5">
        <v>140</v>
      </c>
      <c r="J42" s="5">
        <v>5</v>
      </c>
      <c r="K42" s="5">
        <v>4</v>
      </c>
      <c r="L42" s="6" t="s">
        <v>27</v>
      </c>
      <c r="M42" s="6">
        <v>3.7</v>
      </c>
      <c r="N42" s="6">
        <v>1</v>
      </c>
      <c r="O42" s="6">
        <v>2</v>
      </c>
      <c r="P42" s="6">
        <v>2.5</v>
      </c>
      <c r="Q42" s="6">
        <v>2</v>
      </c>
      <c r="R42" s="6"/>
      <c r="S42" s="6">
        <f>SUM(M42:Q42)</f>
        <v>11.2</v>
      </c>
      <c r="T42" s="6">
        <f>COUNTIFS($Y:$Y, Y42, $S:$S, "&gt;"&amp;S42) + 1</f>
        <v>23</v>
      </c>
      <c r="U42" s="6">
        <f>0.85*E42+T42*0.15</f>
        <v>40.85</v>
      </c>
      <c r="V42" s="6">
        <f>100.4-0.4*W42</f>
        <v>84</v>
      </c>
      <c r="W42" s="6">
        <f>COUNTIFS($Y:$Y, Y42, $U:$U, "&lt;"&amp;U42) + 1</f>
        <v>41</v>
      </c>
      <c r="X42" s="5">
        <v>64</v>
      </c>
      <c r="Y42" s="6" t="s">
        <v>245</v>
      </c>
      <c r="Z42" s="10"/>
    </row>
    <row r="43" spans="1:26">
      <c r="A43" s="5">
        <v>268</v>
      </c>
      <c r="B43" s="5">
        <v>1120232315</v>
      </c>
      <c r="C43" s="6" t="s">
        <v>285</v>
      </c>
      <c r="D43" s="6" t="str">
        <f>VLOOKUP([1]成绩单!B44,[1]Sheet1!$A:$K,4,0)</f>
        <v>精工2311</v>
      </c>
      <c r="E43" s="5">
        <v>43</v>
      </c>
      <c r="F43" s="7">
        <v>0.671875</v>
      </c>
      <c r="G43" s="8">
        <v>68.017600000000002</v>
      </c>
      <c r="H43" s="5">
        <v>63</v>
      </c>
      <c r="I43" s="5">
        <v>142</v>
      </c>
      <c r="J43" s="5">
        <v>5</v>
      </c>
      <c r="K43" s="5">
        <v>4</v>
      </c>
      <c r="L43" s="6" t="s">
        <v>27</v>
      </c>
      <c r="M43" s="6">
        <v>2.7</v>
      </c>
      <c r="N43" s="6">
        <v>1</v>
      </c>
      <c r="O43" s="6">
        <v>1.5</v>
      </c>
      <c r="P43" s="6">
        <v>1.5</v>
      </c>
      <c r="Q43" s="6">
        <v>0</v>
      </c>
      <c r="R43" s="6"/>
      <c r="S43" s="6">
        <f>SUM(M43:Q43)</f>
        <v>6.7</v>
      </c>
      <c r="T43" s="6">
        <f>COUNTIFS($Y:$Y, Y43, $S:$S, "&gt;"&amp;S43) + 1</f>
        <v>33</v>
      </c>
      <c r="U43" s="6">
        <f>0.85*E43+T43*0.15</f>
        <v>41.5</v>
      </c>
      <c r="V43" s="6">
        <f>100.4-0.4*W43</f>
        <v>83.600000000000009</v>
      </c>
      <c r="W43" s="6">
        <f>COUNTIFS($Y:$Y, Y43, $U:$U, "&lt;"&amp;U43) + 1</f>
        <v>42</v>
      </c>
      <c r="X43" s="5">
        <v>64</v>
      </c>
      <c r="Y43" s="6" t="s">
        <v>245</v>
      </c>
      <c r="Z43" s="10"/>
    </row>
    <row r="44" spans="1:26">
      <c r="A44" s="5">
        <v>269</v>
      </c>
      <c r="B44" s="5">
        <v>1120230821</v>
      </c>
      <c r="C44" s="6" t="s">
        <v>286</v>
      </c>
      <c r="D44" s="6" t="str">
        <f>VLOOKUP([1]成绩单!B46,[1]Sheet1!$A:$K,4,0)</f>
        <v>精工2311</v>
      </c>
      <c r="E44" s="5">
        <v>45</v>
      </c>
      <c r="F44" s="7">
        <v>0.703125</v>
      </c>
      <c r="G44" s="8">
        <v>65.632599999999996</v>
      </c>
      <c r="H44" s="5">
        <v>62</v>
      </c>
      <c r="I44" s="9">
        <v>139.5</v>
      </c>
      <c r="J44" s="5">
        <v>7</v>
      </c>
      <c r="K44" s="5">
        <v>0</v>
      </c>
      <c r="L44" s="6" t="s">
        <v>27</v>
      </c>
      <c r="M44" s="6">
        <v>1.4</v>
      </c>
      <c r="N44" s="6">
        <v>2.35</v>
      </c>
      <c r="O44" s="6">
        <v>2.5</v>
      </c>
      <c r="P44" s="6">
        <v>1</v>
      </c>
      <c r="Q44" s="6">
        <v>4.5</v>
      </c>
      <c r="R44" s="6"/>
      <c r="S44" s="6">
        <f>SUM(M44:Q44)</f>
        <v>11.75</v>
      </c>
      <c r="T44" s="6">
        <f>COUNTIFS($Y:$Y, Y44, $S:$S, "&gt;"&amp;S44) + 1</f>
        <v>22</v>
      </c>
      <c r="U44" s="6">
        <f>0.85*E44+T44*0.15</f>
        <v>41.55</v>
      </c>
      <c r="V44" s="6">
        <f>100.4-0.4*W44</f>
        <v>83.2</v>
      </c>
      <c r="W44" s="6">
        <f>COUNTIFS($Y:$Y, Y44, $U:$U, "&lt;"&amp;U44) + 1</f>
        <v>43</v>
      </c>
      <c r="X44" s="5">
        <v>64</v>
      </c>
      <c r="Y44" s="6" t="s">
        <v>245</v>
      </c>
      <c r="Z44" s="10"/>
    </row>
    <row r="45" spans="1:26">
      <c r="A45" s="5">
        <v>270</v>
      </c>
      <c r="B45" s="5">
        <v>1120232485</v>
      </c>
      <c r="C45" s="6" t="s">
        <v>287</v>
      </c>
      <c r="D45" s="6" t="str">
        <f>VLOOKUP([1]成绩单!B41,[1]Sheet1!$A:$K,4,0)</f>
        <v>精工2313</v>
      </c>
      <c r="E45" s="5">
        <v>40</v>
      </c>
      <c r="F45" s="7">
        <v>0.625</v>
      </c>
      <c r="G45" s="8">
        <v>71.140699999999995</v>
      </c>
      <c r="H45" s="5">
        <v>60</v>
      </c>
      <c r="I45" s="5">
        <v>135</v>
      </c>
      <c r="J45" s="5">
        <v>4</v>
      </c>
      <c r="K45" s="5">
        <v>2</v>
      </c>
      <c r="L45" s="6" t="s">
        <v>27</v>
      </c>
      <c r="M45" s="6">
        <v>0</v>
      </c>
      <c r="N45" s="6">
        <v>0.5</v>
      </c>
      <c r="O45" s="6">
        <v>0.5</v>
      </c>
      <c r="P45" s="6">
        <v>-0.5</v>
      </c>
      <c r="Q45" s="6">
        <v>1</v>
      </c>
      <c r="R45" s="6"/>
      <c r="S45" s="6">
        <f>SUM(M45:Q45)</f>
        <v>1.5</v>
      </c>
      <c r="T45" s="6">
        <f>COUNTIFS($Y:$Y, Y45, $S:$S, "&gt;"&amp;S45) + 1</f>
        <v>51</v>
      </c>
      <c r="U45" s="6">
        <f>0.85*E45+T45*0.15</f>
        <v>41.65</v>
      </c>
      <c r="V45" s="6">
        <f>100.4-0.4*W45</f>
        <v>82.800000000000011</v>
      </c>
      <c r="W45" s="6">
        <f>COUNTIFS($Y:$Y, Y45, $U:$U, "&lt;"&amp;U45) + 1</f>
        <v>44</v>
      </c>
      <c r="X45" s="5">
        <v>64</v>
      </c>
      <c r="Y45" s="6" t="s">
        <v>245</v>
      </c>
      <c r="Z45" s="10"/>
    </row>
    <row r="46" spans="1:26">
      <c r="A46" s="5">
        <v>271</v>
      </c>
      <c r="B46" s="5">
        <v>1120232512</v>
      </c>
      <c r="C46" s="6" t="s">
        <v>288</v>
      </c>
      <c r="D46" s="6" t="str">
        <f>VLOOKUP([1]成绩单!B43,[1]Sheet1!$A:$K,4,0)</f>
        <v>精工2311</v>
      </c>
      <c r="E46" s="5">
        <v>42</v>
      </c>
      <c r="F46" s="7">
        <v>0.65625</v>
      </c>
      <c r="G46" s="8">
        <v>68.741</v>
      </c>
      <c r="H46" s="5">
        <v>61</v>
      </c>
      <c r="I46" s="5">
        <v>139</v>
      </c>
      <c r="J46" s="5">
        <v>4</v>
      </c>
      <c r="K46" s="5">
        <v>3</v>
      </c>
      <c r="L46" s="6" t="s">
        <v>96</v>
      </c>
      <c r="M46" s="6">
        <v>1.2</v>
      </c>
      <c r="N46" s="6">
        <v>0.3</v>
      </c>
      <c r="O46" s="6">
        <v>0</v>
      </c>
      <c r="P46" s="6">
        <v>0</v>
      </c>
      <c r="Q46" s="6">
        <v>1</v>
      </c>
      <c r="R46" s="6"/>
      <c r="S46" s="6">
        <f>SUM(M46:Q46)</f>
        <v>2.5</v>
      </c>
      <c r="T46" s="6">
        <f>COUNTIFS($Y:$Y, Y46, $S:$S, "&gt;"&amp;S46) + 1</f>
        <v>45</v>
      </c>
      <c r="U46" s="6">
        <f>0.85*E46+T46*0.15</f>
        <v>42.449999999999996</v>
      </c>
      <c r="V46" s="6">
        <f>100.4-0.4*W46</f>
        <v>82.4</v>
      </c>
      <c r="W46" s="6">
        <f>COUNTIFS($Y:$Y, Y46, $U:$U, "&lt;"&amp;U46) + 1</f>
        <v>45</v>
      </c>
      <c r="X46" s="5">
        <v>64</v>
      </c>
      <c r="Y46" s="6" t="s">
        <v>245</v>
      </c>
      <c r="Z46" s="10"/>
    </row>
    <row r="47" spans="1:26">
      <c r="A47" s="5">
        <v>272</v>
      </c>
      <c r="B47" s="5">
        <v>1120232305</v>
      </c>
      <c r="C47" s="6" t="s">
        <v>289</v>
      </c>
      <c r="D47" s="6" t="str">
        <f>VLOOKUP([1]成绩单!B47,[1]Sheet1!$A:$K,4,0)</f>
        <v>精工2311</v>
      </c>
      <c r="E47" s="5">
        <v>46</v>
      </c>
      <c r="F47" s="7">
        <v>0.71875</v>
      </c>
      <c r="G47" s="8">
        <v>65.411299999999997</v>
      </c>
      <c r="H47" s="5">
        <v>62</v>
      </c>
      <c r="I47" s="5">
        <v>141</v>
      </c>
      <c r="J47" s="5">
        <v>5</v>
      </c>
      <c r="K47" s="5">
        <v>2</v>
      </c>
      <c r="L47" s="6" t="s">
        <v>27</v>
      </c>
      <c r="M47" s="6">
        <v>2.5</v>
      </c>
      <c r="N47" s="6">
        <v>1.5</v>
      </c>
      <c r="O47" s="6">
        <v>1</v>
      </c>
      <c r="P47" s="6">
        <v>-1.5</v>
      </c>
      <c r="Q47" s="6">
        <v>1</v>
      </c>
      <c r="R47" s="6"/>
      <c r="S47" s="6">
        <f>SUM(M47:Q47)</f>
        <v>4.5</v>
      </c>
      <c r="T47" s="6">
        <f>COUNTIFS($Y:$Y, Y47, $S:$S, "&gt;"&amp;S47) + 1</f>
        <v>39</v>
      </c>
      <c r="U47" s="6">
        <f>0.85*E47+T47*0.15</f>
        <v>44.95</v>
      </c>
      <c r="V47" s="6">
        <f>100.4-0.4*W47</f>
        <v>82</v>
      </c>
      <c r="W47" s="6">
        <f>COUNTIFS($Y:$Y, Y47, $U:$U, "&lt;"&amp;U47) + 1</f>
        <v>46</v>
      </c>
      <c r="X47" s="5">
        <v>64</v>
      </c>
      <c r="Y47" s="6" t="s">
        <v>245</v>
      </c>
      <c r="Z47" s="10"/>
    </row>
    <row r="48" spans="1:26">
      <c r="A48" s="5">
        <v>273</v>
      </c>
      <c r="B48" s="5">
        <v>1120232879</v>
      </c>
      <c r="C48" s="6" t="s">
        <v>290</v>
      </c>
      <c r="D48" s="6" t="str">
        <f>VLOOKUP([1]成绩单!B49,[1]Sheet1!$A:$K,4,0)</f>
        <v>精工2313</v>
      </c>
      <c r="E48" s="5">
        <v>48</v>
      </c>
      <c r="F48" s="7">
        <v>0.75</v>
      </c>
      <c r="G48" s="8">
        <v>65.293000000000006</v>
      </c>
      <c r="H48" s="5">
        <v>60</v>
      </c>
      <c r="I48" s="9">
        <v>136.5</v>
      </c>
      <c r="J48" s="5">
        <v>6</v>
      </c>
      <c r="K48" s="5">
        <v>2</v>
      </c>
      <c r="L48" s="6" t="s">
        <v>27</v>
      </c>
      <c r="M48" s="6">
        <v>2.5</v>
      </c>
      <c r="N48" s="6">
        <v>0.5</v>
      </c>
      <c r="O48" s="6">
        <v>2.8</v>
      </c>
      <c r="P48" s="6">
        <v>0</v>
      </c>
      <c r="Q48" s="6">
        <v>0</v>
      </c>
      <c r="R48" s="6"/>
      <c r="S48" s="6">
        <f>SUM(M48:Q48)</f>
        <v>5.8</v>
      </c>
      <c r="T48" s="6">
        <f>COUNTIFS($Y:$Y, Y48, $S:$S, "&gt;"&amp;S48) + 1</f>
        <v>36</v>
      </c>
      <c r="U48" s="6">
        <f>0.85*E48+T48*0.15</f>
        <v>46.199999999999996</v>
      </c>
      <c r="V48" s="6">
        <f>100.4-0.4*W48</f>
        <v>81.600000000000009</v>
      </c>
      <c r="W48" s="6">
        <f>COUNTIFS($Y:$Y, Y48, $U:$U, "&lt;"&amp;U48) + 1</f>
        <v>47</v>
      </c>
      <c r="X48" s="5">
        <v>64</v>
      </c>
      <c r="Y48" s="6" t="s">
        <v>245</v>
      </c>
      <c r="Z48" s="10"/>
    </row>
    <row r="49" spans="1:26">
      <c r="A49" s="5">
        <v>274</v>
      </c>
      <c r="B49" s="5">
        <v>1120232225</v>
      </c>
      <c r="C49" s="6" t="s">
        <v>291</v>
      </c>
      <c r="D49" s="6" t="str">
        <f>VLOOKUP([1]成绩单!B52,[1]Sheet1!$A:$K,4,0)</f>
        <v>精工2311</v>
      </c>
      <c r="E49" s="5">
        <v>51</v>
      </c>
      <c r="F49" s="7">
        <v>0.796875</v>
      </c>
      <c r="G49" s="8">
        <v>58.216299999999997</v>
      </c>
      <c r="H49" s="5">
        <v>62</v>
      </c>
      <c r="I49" s="5">
        <v>141</v>
      </c>
      <c r="J49" s="5">
        <v>10</v>
      </c>
      <c r="K49" s="5">
        <v>6</v>
      </c>
      <c r="L49" s="6" t="s">
        <v>27</v>
      </c>
      <c r="M49" s="6">
        <v>3</v>
      </c>
      <c r="N49" s="6">
        <v>1.8</v>
      </c>
      <c r="O49" s="6">
        <v>1</v>
      </c>
      <c r="P49" s="6">
        <v>2</v>
      </c>
      <c r="Q49" s="6">
        <v>2</v>
      </c>
      <c r="R49" s="6"/>
      <c r="S49" s="6">
        <f>SUM(M49:Q49)</f>
        <v>9.8000000000000007</v>
      </c>
      <c r="T49" s="6">
        <f>COUNTIFS($Y:$Y, Y49, $S:$S, "&gt;"&amp;S49) + 1</f>
        <v>27</v>
      </c>
      <c r="U49" s="6">
        <f>0.85*E49+T49*0.15</f>
        <v>47.4</v>
      </c>
      <c r="V49" s="6">
        <f>100.4-0.4*W49</f>
        <v>81.2</v>
      </c>
      <c r="W49" s="6">
        <f>COUNTIFS($Y:$Y, Y49, $U:$U, "&lt;"&amp;U49) + 1</f>
        <v>48</v>
      </c>
      <c r="X49" s="5">
        <v>64</v>
      </c>
      <c r="Y49" s="6" t="s">
        <v>245</v>
      </c>
      <c r="Z49" s="10"/>
    </row>
    <row r="50" spans="1:26">
      <c r="A50" s="5">
        <v>275</v>
      </c>
      <c r="B50" s="5">
        <v>1120221110</v>
      </c>
      <c r="C50" s="6" t="s">
        <v>292</v>
      </c>
      <c r="D50" s="6" t="str">
        <f>VLOOKUP([1]成绩单!B48,[1]Sheet1!$A:$K,4,0)</f>
        <v>精工2312</v>
      </c>
      <c r="E50" s="5">
        <v>47</v>
      </c>
      <c r="F50" s="7">
        <v>0.734375</v>
      </c>
      <c r="G50" s="8">
        <v>65.321700000000007</v>
      </c>
      <c r="H50" s="5">
        <v>63</v>
      </c>
      <c r="I50" s="5">
        <v>143</v>
      </c>
      <c r="J50" s="5">
        <v>6</v>
      </c>
      <c r="K50" s="5">
        <v>4</v>
      </c>
      <c r="L50" s="6" t="s">
        <v>27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/>
      <c r="S50" s="6">
        <f>SUM(M50:Q50)</f>
        <v>0</v>
      </c>
      <c r="T50" s="6">
        <f>COUNTIFS($Y:$Y, Y50, $S:$S, "&gt;"&amp;S50) + 1</f>
        <v>54</v>
      </c>
      <c r="U50" s="6">
        <f>0.85*E50+T50*0.15</f>
        <v>48.05</v>
      </c>
      <c r="V50" s="6">
        <f>100.4-0.4*W50</f>
        <v>80.800000000000011</v>
      </c>
      <c r="W50" s="6">
        <f>COUNTIFS($Y:$Y, Y50, $U:$U, "&lt;"&amp;U50) + 1</f>
        <v>49</v>
      </c>
      <c r="X50" s="5">
        <v>64</v>
      </c>
      <c r="Y50" s="6" t="s">
        <v>245</v>
      </c>
      <c r="Z50" s="10"/>
    </row>
    <row r="51" spans="1:26">
      <c r="A51" s="5">
        <v>276</v>
      </c>
      <c r="B51" s="5">
        <v>1120232213</v>
      </c>
      <c r="C51" s="6" t="s">
        <v>293</v>
      </c>
      <c r="D51" s="6" t="str">
        <f>VLOOKUP([1]成绩单!B50,[1]Sheet1!$A:$K,4,0)</f>
        <v>精工2313</v>
      </c>
      <c r="E51" s="5">
        <v>49</v>
      </c>
      <c r="F51" s="7">
        <v>0.765625</v>
      </c>
      <c r="G51" s="8">
        <v>63.367899999999999</v>
      </c>
      <c r="H51" s="5">
        <v>58</v>
      </c>
      <c r="I51" s="9">
        <v>132.5</v>
      </c>
      <c r="J51" s="5">
        <v>6</v>
      </c>
      <c r="K51" s="5">
        <v>3</v>
      </c>
      <c r="L51" s="6" t="s">
        <v>27</v>
      </c>
      <c r="M51" s="6">
        <v>1.2</v>
      </c>
      <c r="N51" s="6">
        <v>0</v>
      </c>
      <c r="O51" s="6">
        <v>0</v>
      </c>
      <c r="P51" s="6">
        <v>-1</v>
      </c>
      <c r="Q51" s="6">
        <v>0</v>
      </c>
      <c r="R51" s="6"/>
      <c r="S51" s="6">
        <f>SUM(M51:Q51)</f>
        <v>0.19999999999999996</v>
      </c>
      <c r="T51" s="6">
        <f>COUNTIFS($Y:$Y, Y51, $S:$S, "&gt;"&amp;S51) + 1</f>
        <v>53</v>
      </c>
      <c r="U51" s="6">
        <f>0.85*E51+T51*0.15</f>
        <v>49.599999999999994</v>
      </c>
      <c r="V51" s="6">
        <f>100.4-0.4*W51</f>
        <v>80.400000000000006</v>
      </c>
      <c r="W51" s="6">
        <f>COUNTIFS($Y:$Y, Y51, $U:$U, "&lt;"&amp;U51) + 1</f>
        <v>50</v>
      </c>
      <c r="X51" s="5">
        <v>64</v>
      </c>
      <c r="Y51" s="6" t="s">
        <v>245</v>
      </c>
      <c r="Z51" s="10"/>
    </row>
    <row r="52" spans="1:26">
      <c r="A52" s="5">
        <v>277</v>
      </c>
      <c r="B52" s="5">
        <v>1120230050</v>
      </c>
      <c r="C52" s="6" t="s">
        <v>294</v>
      </c>
      <c r="D52" s="6" t="str">
        <f>VLOOKUP([1]成绩单!B54,[1]Sheet1!$A:$K,4,0)</f>
        <v>精工2313</v>
      </c>
      <c r="E52" s="5">
        <v>53</v>
      </c>
      <c r="F52" s="7">
        <v>0.828125</v>
      </c>
      <c r="G52" s="8">
        <v>54.616900000000001</v>
      </c>
      <c r="H52" s="5">
        <v>62</v>
      </c>
      <c r="I52" s="5">
        <v>139</v>
      </c>
      <c r="J52" s="5">
        <v>12</v>
      </c>
      <c r="K52" s="5">
        <v>8</v>
      </c>
      <c r="L52" s="6" t="s">
        <v>96</v>
      </c>
      <c r="M52" s="6">
        <v>0</v>
      </c>
      <c r="N52" s="6">
        <v>0.85</v>
      </c>
      <c r="O52" s="6">
        <v>1.7</v>
      </c>
      <c r="P52" s="6">
        <v>3.8</v>
      </c>
      <c r="Q52" s="6">
        <v>1</v>
      </c>
      <c r="R52" s="6"/>
      <c r="S52" s="6">
        <f>SUM(M52:Q52)</f>
        <v>7.35</v>
      </c>
      <c r="T52" s="6">
        <f>COUNTIFS($Y:$Y, Y52, $S:$S, "&gt;"&amp;S52) + 1</f>
        <v>32</v>
      </c>
      <c r="U52" s="6">
        <f>0.85*E52+T52*0.15</f>
        <v>49.849999999999994</v>
      </c>
      <c r="V52" s="6">
        <f>100.4-0.4*W52</f>
        <v>80</v>
      </c>
      <c r="W52" s="6">
        <f>COUNTIFS($Y:$Y, Y52, $U:$U, "&lt;"&amp;U52) + 1</f>
        <v>51</v>
      </c>
      <c r="X52" s="5">
        <v>64</v>
      </c>
      <c r="Y52" s="6" t="s">
        <v>245</v>
      </c>
      <c r="Z52" s="10"/>
    </row>
    <row r="53" spans="1:26">
      <c r="A53" s="5">
        <v>278</v>
      </c>
      <c r="B53" s="5">
        <v>1120231448</v>
      </c>
      <c r="C53" s="6" t="s">
        <v>295</v>
      </c>
      <c r="D53" s="6" t="str">
        <f>VLOOKUP([1]成绩单!B51,[1]Sheet1!$A:$K,4,0)</f>
        <v>精工2311</v>
      </c>
      <c r="E53" s="5">
        <v>50</v>
      </c>
      <c r="F53" s="7">
        <v>0.78125</v>
      </c>
      <c r="G53" s="8">
        <v>59.616700000000002</v>
      </c>
      <c r="H53" s="5">
        <v>59</v>
      </c>
      <c r="I53" s="5">
        <v>135</v>
      </c>
      <c r="J53" s="5">
        <v>8</v>
      </c>
      <c r="K53" s="5">
        <v>2</v>
      </c>
      <c r="L53" s="6" t="s">
        <v>96</v>
      </c>
      <c r="M53" s="6">
        <v>1</v>
      </c>
      <c r="N53" s="6">
        <v>1</v>
      </c>
      <c r="O53" s="6">
        <v>0</v>
      </c>
      <c r="P53" s="6">
        <v>-1</v>
      </c>
      <c r="Q53" s="6">
        <v>0</v>
      </c>
      <c r="R53" s="6"/>
      <c r="S53" s="6">
        <f>SUM(M53:Q53)</f>
        <v>1</v>
      </c>
      <c r="T53" s="6">
        <f>COUNTIFS($Y:$Y, Y53, $S:$S, "&gt;"&amp;S53) + 1</f>
        <v>52</v>
      </c>
      <c r="U53" s="6">
        <f>0.85*E53+T53*0.15</f>
        <v>50.3</v>
      </c>
      <c r="V53" s="6">
        <f>100.4-0.4*W53</f>
        <v>79.600000000000009</v>
      </c>
      <c r="W53" s="6">
        <f>COUNTIFS($Y:$Y, Y53, $U:$U, "&lt;"&amp;U53) + 1</f>
        <v>52</v>
      </c>
      <c r="X53" s="5">
        <v>64</v>
      </c>
      <c r="Y53" s="6" t="s">
        <v>245</v>
      </c>
      <c r="Z53" s="10"/>
    </row>
    <row r="54" spans="1:26">
      <c r="A54" s="5">
        <v>279</v>
      </c>
      <c r="B54" s="5">
        <v>1120210989</v>
      </c>
      <c r="C54" s="6" t="s">
        <v>296</v>
      </c>
      <c r="D54" s="6" t="str">
        <f>VLOOKUP([1]成绩单!B53,[1]Sheet1!$A:$K,4,0)</f>
        <v>精工2312</v>
      </c>
      <c r="E54" s="5">
        <v>52</v>
      </c>
      <c r="F54" s="7">
        <v>0.8125</v>
      </c>
      <c r="G54" s="8">
        <v>56.490900000000003</v>
      </c>
      <c r="H54" s="5">
        <v>60</v>
      </c>
      <c r="I54" s="5">
        <v>138</v>
      </c>
      <c r="J54" s="5">
        <v>10</v>
      </c>
      <c r="K54" s="5">
        <v>7</v>
      </c>
      <c r="L54" s="6" t="s">
        <v>96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/>
      <c r="S54" s="6">
        <f>SUM(M54:Q54)</f>
        <v>0</v>
      </c>
      <c r="T54" s="6">
        <f>COUNTIFS($Y:$Y, Y54, $S:$S, "&gt;"&amp;S54) + 1</f>
        <v>54</v>
      </c>
      <c r="U54" s="6">
        <f>0.85*E54+T54*0.15</f>
        <v>52.3</v>
      </c>
      <c r="V54" s="6">
        <f>100.4-0.4*W54</f>
        <v>79.2</v>
      </c>
      <c r="W54" s="6">
        <f>COUNTIFS($Y:$Y, Y54, $U:$U, "&lt;"&amp;U54) + 1</f>
        <v>53</v>
      </c>
      <c r="X54" s="5">
        <v>64</v>
      </c>
      <c r="Y54" s="6" t="s">
        <v>245</v>
      </c>
      <c r="Z54" s="10"/>
    </row>
    <row r="55" spans="1:26">
      <c r="A55" s="5">
        <v>280</v>
      </c>
      <c r="B55" s="5">
        <v>1120231261</v>
      </c>
      <c r="C55" s="6" t="s">
        <v>297</v>
      </c>
      <c r="D55" s="6" t="str">
        <f>VLOOKUP([1]成绩单!B55,[1]Sheet1!$A:$K,4,0)</f>
        <v>精工2312</v>
      </c>
      <c r="E55" s="5">
        <v>54</v>
      </c>
      <c r="F55" s="7">
        <v>0.84375</v>
      </c>
      <c r="G55" s="8">
        <v>54.196599999999997</v>
      </c>
      <c r="H55" s="5">
        <v>59</v>
      </c>
      <c r="I55" s="9">
        <v>133.5</v>
      </c>
      <c r="J55" s="5">
        <v>13</v>
      </c>
      <c r="K55" s="5">
        <v>3</v>
      </c>
      <c r="L55" s="6" t="s">
        <v>27</v>
      </c>
      <c r="M55" s="6">
        <v>1.2</v>
      </c>
      <c r="N55" s="6">
        <v>1</v>
      </c>
      <c r="O55" s="6">
        <v>0</v>
      </c>
      <c r="P55" s="6">
        <v>-0.55000000000000004</v>
      </c>
      <c r="Q55" s="6">
        <v>0</v>
      </c>
      <c r="R55" s="6"/>
      <c r="S55" s="6">
        <f>SUM(M55:Q55)</f>
        <v>1.6500000000000001</v>
      </c>
      <c r="T55" s="6">
        <f>COUNTIFS($Y:$Y, Y55, $S:$S, "&gt;"&amp;S55) + 1</f>
        <v>50</v>
      </c>
      <c r="U55" s="6">
        <f>0.85*E55+T55*0.15</f>
        <v>53.4</v>
      </c>
      <c r="V55" s="6">
        <f>100.4-0.4*W55</f>
        <v>78.800000000000011</v>
      </c>
      <c r="W55" s="6">
        <f>COUNTIFS($Y:$Y, Y55, $U:$U, "&lt;"&amp;U55) + 1</f>
        <v>54</v>
      </c>
      <c r="X55" s="5">
        <v>64</v>
      </c>
      <c r="Y55" s="6" t="s">
        <v>245</v>
      </c>
      <c r="Z55" s="10"/>
    </row>
    <row r="56" spans="1:26">
      <c r="A56" s="5">
        <v>281</v>
      </c>
      <c r="B56" s="5">
        <v>1120232220</v>
      </c>
      <c r="C56" s="6" t="s">
        <v>298</v>
      </c>
      <c r="D56" s="6" t="str">
        <f>VLOOKUP([1]成绩单!B56,[1]Sheet1!$A:$K,4,0)</f>
        <v>精工2312</v>
      </c>
      <c r="E56" s="5">
        <v>55</v>
      </c>
      <c r="F56" s="7">
        <v>0.859375</v>
      </c>
      <c r="G56" s="8">
        <v>53.3628</v>
      </c>
      <c r="H56" s="5">
        <v>62</v>
      </c>
      <c r="I56" s="9">
        <v>138.5</v>
      </c>
      <c r="J56" s="5">
        <v>15</v>
      </c>
      <c r="K56" s="5">
        <v>6</v>
      </c>
      <c r="L56" s="6" t="s">
        <v>27</v>
      </c>
      <c r="M56" s="6">
        <v>0.6</v>
      </c>
      <c r="N56" s="6">
        <v>1.2</v>
      </c>
      <c r="O56" s="6">
        <v>1</v>
      </c>
      <c r="P56" s="6">
        <v>-0.5</v>
      </c>
      <c r="Q56" s="6">
        <v>0</v>
      </c>
      <c r="R56" s="6"/>
      <c r="S56" s="6">
        <f>SUM(M56:Q56)</f>
        <v>2.2999999999999998</v>
      </c>
      <c r="T56" s="6">
        <f>COUNTIFS($Y:$Y, Y56, $S:$S, "&gt;"&amp;S56) + 1</f>
        <v>47</v>
      </c>
      <c r="U56" s="6">
        <f>0.85*E56+T56*0.15</f>
        <v>53.8</v>
      </c>
      <c r="V56" s="6">
        <f>100.4-0.4*W56</f>
        <v>78.400000000000006</v>
      </c>
      <c r="W56" s="6">
        <f>COUNTIFS($Y:$Y, Y56, $U:$U, "&lt;"&amp;U56) + 1</f>
        <v>55</v>
      </c>
      <c r="X56" s="5">
        <v>64</v>
      </c>
      <c r="Y56" s="6" t="s">
        <v>245</v>
      </c>
      <c r="Z56" s="10"/>
    </row>
    <row r="57" spans="1:26">
      <c r="A57" s="5">
        <v>282</v>
      </c>
      <c r="B57" s="5">
        <v>1120230991</v>
      </c>
      <c r="C57" s="6" t="s">
        <v>299</v>
      </c>
      <c r="D57" s="6" t="str">
        <f>VLOOKUP([1]成绩单!B57,[1]Sheet1!$A:$K,4,0)</f>
        <v>精工2312</v>
      </c>
      <c r="E57" s="5">
        <v>56</v>
      </c>
      <c r="F57" s="7">
        <v>0.875</v>
      </c>
      <c r="G57" s="8">
        <v>50.623600000000003</v>
      </c>
      <c r="H57" s="5">
        <v>57</v>
      </c>
      <c r="I57" s="9">
        <v>131.5</v>
      </c>
      <c r="J57" s="5">
        <v>15</v>
      </c>
      <c r="K57" s="5">
        <v>4</v>
      </c>
      <c r="L57" s="6" t="s">
        <v>27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/>
      <c r="S57" s="6">
        <f>SUM(M57:Q57)</f>
        <v>0</v>
      </c>
      <c r="T57" s="6">
        <f>COUNTIFS($Y:$Y, Y57, $S:$S, "&gt;"&amp;S57) + 1</f>
        <v>54</v>
      </c>
      <c r="U57" s="6">
        <f>0.85*E57+T57*0.15</f>
        <v>55.7</v>
      </c>
      <c r="V57" s="6">
        <f>100.4-0.4*W57</f>
        <v>78</v>
      </c>
      <c r="W57" s="6">
        <f>COUNTIFS($Y:$Y, Y57, $U:$U, "&lt;"&amp;U57) + 1</f>
        <v>56</v>
      </c>
      <c r="X57" s="5">
        <v>64</v>
      </c>
      <c r="Y57" s="6" t="s">
        <v>245</v>
      </c>
      <c r="Z57" s="10"/>
    </row>
    <row r="58" spans="1:26">
      <c r="A58" s="5">
        <v>283</v>
      </c>
      <c r="B58" s="5">
        <v>1120222021</v>
      </c>
      <c r="C58" s="6" t="s">
        <v>300</v>
      </c>
      <c r="D58" s="6" t="str">
        <f>VLOOKUP([1]成绩单!B58,[1]Sheet1!$A:$K,4,0)</f>
        <v>精工2312</v>
      </c>
      <c r="E58" s="5">
        <v>57</v>
      </c>
      <c r="F58" s="7">
        <v>0.890625</v>
      </c>
      <c r="G58" s="8">
        <v>44.450699999999998</v>
      </c>
      <c r="H58" s="5">
        <v>62</v>
      </c>
      <c r="I58" s="5">
        <v>142</v>
      </c>
      <c r="J58" s="5">
        <v>20</v>
      </c>
      <c r="K58" s="5">
        <v>15</v>
      </c>
      <c r="L58" s="6" t="s">
        <v>96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/>
      <c r="S58" s="6">
        <f>SUM(M58:Q58)</f>
        <v>0</v>
      </c>
      <c r="T58" s="6">
        <f>COUNTIFS($Y:$Y, Y58, $S:$S, "&gt;"&amp;S58) + 1</f>
        <v>54</v>
      </c>
      <c r="U58" s="6">
        <f>0.85*E58+T58*0.15</f>
        <v>56.55</v>
      </c>
      <c r="V58" s="6">
        <f>100.4-0.4*W58</f>
        <v>77.600000000000009</v>
      </c>
      <c r="W58" s="6">
        <f>COUNTIFS($Y:$Y, Y58, $U:$U, "&lt;"&amp;U58) + 1</f>
        <v>57</v>
      </c>
      <c r="X58" s="5">
        <v>64</v>
      </c>
      <c r="Y58" s="6" t="s">
        <v>245</v>
      </c>
      <c r="Z58" s="10"/>
    </row>
    <row r="59" spans="1:26">
      <c r="A59" s="5">
        <v>284</v>
      </c>
      <c r="B59" s="5">
        <v>1120234014</v>
      </c>
      <c r="C59" s="6" t="s">
        <v>301</v>
      </c>
      <c r="D59" s="6" t="str">
        <f>VLOOKUP([1]成绩单!B60,[1]Sheet1!$A:$K,4,0)</f>
        <v>精工2310</v>
      </c>
      <c r="E59" s="5">
        <v>59</v>
      </c>
      <c r="F59" s="7">
        <v>0.921875</v>
      </c>
      <c r="G59" s="8">
        <v>43.589300000000001</v>
      </c>
      <c r="H59" s="5">
        <v>51</v>
      </c>
      <c r="I59" s="11">
        <v>121.75</v>
      </c>
      <c r="J59" s="5">
        <v>18</v>
      </c>
      <c r="K59" s="5">
        <v>8</v>
      </c>
      <c r="L59" s="6" t="s">
        <v>96</v>
      </c>
      <c r="M59" s="6">
        <v>0.4</v>
      </c>
      <c r="N59" s="6">
        <v>1.7</v>
      </c>
      <c r="O59" s="6">
        <v>1.75</v>
      </c>
      <c r="P59" s="6">
        <v>-1.5</v>
      </c>
      <c r="Q59" s="6">
        <v>0</v>
      </c>
      <c r="R59" s="6"/>
      <c r="S59" s="6">
        <f>SUM(M59:Q59)</f>
        <v>2.35</v>
      </c>
      <c r="T59" s="6">
        <f>COUNTIFS($Y:$Y, Y59, $S:$S, "&gt;"&amp;S59) + 1</f>
        <v>46</v>
      </c>
      <c r="U59" s="6">
        <f>0.85*E59+T59*0.15</f>
        <v>57.05</v>
      </c>
      <c r="V59" s="6">
        <f>100.4-0.4*W59</f>
        <v>77.2</v>
      </c>
      <c r="W59" s="6">
        <f>COUNTIFS($Y:$Y, Y59, $U:$U, "&lt;"&amp;U59) + 1</f>
        <v>58</v>
      </c>
      <c r="X59" s="5">
        <v>64</v>
      </c>
      <c r="Y59" s="6" t="s">
        <v>245</v>
      </c>
      <c r="Z59" s="10"/>
    </row>
    <row r="60" spans="1:26">
      <c r="A60" s="5">
        <v>285</v>
      </c>
      <c r="B60" s="5">
        <v>1120231428</v>
      </c>
      <c r="C60" s="6" t="s">
        <v>302</v>
      </c>
      <c r="D60" s="6" t="str">
        <f>VLOOKUP([1]成绩单!B61,[1]Sheet1!$A:$K,4,0)</f>
        <v>精工2310</v>
      </c>
      <c r="E60" s="5">
        <v>60</v>
      </c>
      <c r="F60" s="7">
        <v>0.9375</v>
      </c>
      <c r="G60" s="8">
        <v>42.994399999999999</v>
      </c>
      <c r="H60" s="5">
        <v>58</v>
      </c>
      <c r="I60" s="9">
        <v>134.5</v>
      </c>
      <c r="J60" s="5">
        <v>20</v>
      </c>
      <c r="K60" s="5">
        <v>5</v>
      </c>
      <c r="L60" s="6" t="s">
        <v>27</v>
      </c>
      <c r="M60" s="6">
        <v>2.7</v>
      </c>
      <c r="N60" s="6">
        <v>0</v>
      </c>
      <c r="O60" s="6">
        <v>0</v>
      </c>
      <c r="P60" s="6">
        <v>-0.5</v>
      </c>
      <c r="Q60" s="6">
        <v>0</v>
      </c>
      <c r="R60" s="6"/>
      <c r="S60" s="6">
        <f>SUM(M60:Q60)</f>
        <v>2.2000000000000002</v>
      </c>
      <c r="T60" s="6">
        <f>COUNTIFS($Y:$Y, Y60, $S:$S, "&gt;"&amp;S60) + 1</f>
        <v>49</v>
      </c>
      <c r="U60" s="6">
        <f>0.85*E60+T60*0.15</f>
        <v>58.35</v>
      </c>
      <c r="V60" s="6">
        <f>100.4-0.4*W60</f>
        <v>76.800000000000011</v>
      </c>
      <c r="W60" s="6">
        <f>COUNTIFS($Y:$Y, Y60, $U:$U, "&lt;"&amp;U60) + 1</f>
        <v>59</v>
      </c>
      <c r="X60" s="5">
        <v>64</v>
      </c>
      <c r="Y60" s="6" t="s">
        <v>245</v>
      </c>
      <c r="Z60" s="10"/>
    </row>
    <row r="61" spans="1:26">
      <c r="A61" s="5">
        <v>286</v>
      </c>
      <c r="B61" s="5">
        <v>1120230397</v>
      </c>
      <c r="C61" s="6" t="s">
        <v>303</v>
      </c>
      <c r="D61" s="6" t="str">
        <f>VLOOKUP([1]成绩单!B59,[1]Sheet1!$A:$K,4,0)</f>
        <v>精工2313</v>
      </c>
      <c r="E61" s="5">
        <v>58</v>
      </c>
      <c r="F61" s="7">
        <v>0.90625</v>
      </c>
      <c r="G61" s="8">
        <v>44.152700000000003</v>
      </c>
      <c r="H61" s="5">
        <v>58</v>
      </c>
      <c r="I61" s="5">
        <v>131</v>
      </c>
      <c r="J61" s="5">
        <v>16</v>
      </c>
      <c r="K61" s="5">
        <v>8</v>
      </c>
      <c r="L61" s="6" t="s">
        <v>27</v>
      </c>
      <c r="M61" s="6">
        <v>0</v>
      </c>
      <c r="N61" s="6">
        <v>0</v>
      </c>
      <c r="O61" s="6">
        <v>0</v>
      </c>
      <c r="P61" s="6">
        <v>-1</v>
      </c>
      <c r="Q61" s="6">
        <v>0</v>
      </c>
      <c r="R61" s="6"/>
      <c r="S61" s="6">
        <f>SUM(M61:Q61)</f>
        <v>-1</v>
      </c>
      <c r="T61" s="6">
        <f>COUNTIFS($Y:$Y, Y61, $S:$S, "&gt;"&amp;S61) + 1</f>
        <v>64</v>
      </c>
      <c r="U61" s="6">
        <f>0.85*E61+T61*0.15</f>
        <v>58.9</v>
      </c>
      <c r="V61" s="6">
        <f>100.4-0.4*W61</f>
        <v>76.400000000000006</v>
      </c>
      <c r="W61" s="6">
        <f>COUNTIFS($Y:$Y, Y61, $U:$U, "&lt;"&amp;U61) + 1</f>
        <v>60</v>
      </c>
      <c r="X61" s="5">
        <v>64</v>
      </c>
      <c r="Y61" s="6" t="s">
        <v>245</v>
      </c>
      <c r="Z61" s="10"/>
    </row>
    <row r="62" spans="1:26">
      <c r="A62" s="5">
        <v>287</v>
      </c>
      <c r="B62" s="5">
        <v>1120222133</v>
      </c>
      <c r="C62" s="6" t="s">
        <v>304</v>
      </c>
      <c r="D62" s="6" t="str">
        <f>VLOOKUP([1]成绩单!B62,[1]Sheet1!$A:$K,4,0)</f>
        <v>精工2310</v>
      </c>
      <c r="E62" s="5">
        <v>61</v>
      </c>
      <c r="F62" s="7">
        <v>0.953125</v>
      </c>
      <c r="G62" s="8">
        <v>39.996000000000002</v>
      </c>
      <c r="H62" s="5">
        <v>53</v>
      </c>
      <c r="I62" s="5">
        <v>124</v>
      </c>
      <c r="J62" s="5">
        <v>21</v>
      </c>
      <c r="K62" s="5">
        <v>14</v>
      </c>
      <c r="L62" s="6" t="s">
        <v>27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/>
      <c r="S62" s="6">
        <f>SUM(M62:Q62)</f>
        <v>0</v>
      </c>
      <c r="T62" s="6">
        <f>COUNTIFS($Y:$Y, Y62, $S:$S, "&gt;"&amp;S62) + 1</f>
        <v>54</v>
      </c>
      <c r="U62" s="6">
        <f>0.85*E62+T62*0.15</f>
        <v>59.95</v>
      </c>
      <c r="V62" s="6">
        <f>100.4-0.4*W62</f>
        <v>76</v>
      </c>
      <c r="W62" s="6">
        <f>COUNTIFS($Y:$Y, Y62, $U:$U, "&lt;"&amp;U62) + 1</f>
        <v>61</v>
      </c>
      <c r="X62" s="5">
        <v>64</v>
      </c>
      <c r="Y62" s="6" t="s">
        <v>245</v>
      </c>
      <c r="Z62" s="10"/>
    </row>
    <row r="63" spans="1:26">
      <c r="A63" s="5">
        <v>288</v>
      </c>
      <c r="B63" s="5">
        <v>1120212199</v>
      </c>
      <c r="C63" s="6" t="s">
        <v>305</v>
      </c>
      <c r="D63" s="6" t="str">
        <f>VLOOKUP([1]成绩单!B63,[1]Sheet1!$A:$K,4,0)</f>
        <v>精工2310</v>
      </c>
      <c r="E63" s="5">
        <v>62</v>
      </c>
      <c r="F63" s="7">
        <v>0.96875</v>
      </c>
      <c r="G63" s="8">
        <v>39.640799999999999</v>
      </c>
      <c r="H63" s="5">
        <v>64</v>
      </c>
      <c r="I63" s="5">
        <v>142</v>
      </c>
      <c r="J63" s="5">
        <v>22</v>
      </c>
      <c r="K63" s="5">
        <v>17</v>
      </c>
      <c r="L63" s="6" t="s">
        <v>96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/>
      <c r="S63" s="6">
        <f>SUM(M63:Q63)</f>
        <v>0</v>
      </c>
      <c r="T63" s="6">
        <f>COUNTIFS($Y:$Y, Y63, $S:$S, "&gt;"&amp;S63) + 1</f>
        <v>54</v>
      </c>
      <c r="U63" s="6">
        <f>0.85*E63+T63*0.15</f>
        <v>60.8</v>
      </c>
      <c r="V63" s="6">
        <f>100.4-0.4*W63</f>
        <v>75.600000000000009</v>
      </c>
      <c r="W63" s="6">
        <f>COUNTIFS($Y:$Y, Y63, $U:$U, "&lt;"&amp;U63) + 1</f>
        <v>62</v>
      </c>
      <c r="X63" s="5">
        <v>64</v>
      </c>
      <c r="Y63" s="6" t="s">
        <v>245</v>
      </c>
      <c r="Z63" s="10"/>
    </row>
    <row r="64" spans="1:26">
      <c r="A64" s="5">
        <v>289</v>
      </c>
      <c r="B64" s="5">
        <v>1120223629</v>
      </c>
      <c r="C64" s="6" t="s">
        <v>306</v>
      </c>
      <c r="D64" s="6" t="str">
        <f>VLOOKUP([1]成绩单!B64,[1]Sheet1!$A:$K,4,0)</f>
        <v>精工2313</v>
      </c>
      <c r="E64" s="5">
        <v>63</v>
      </c>
      <c r="F64" s="7">
        <v>0.984375</v>
      </c>
      <c r="G64" s="8">
        <v>34.969200000000001</v>
      </c>
      <c r="H64" s="5">
        <v>57</v>
      </c>
      <c r="I64" s="5">
        <v>130</v>
      </c>
      <c r="J64" s="5">
        <v>26</v>
      </c>
      <c r="K64" s="5">
        <v>11</v>
      </c>
      <c r="L64" s="6" t="s">
        <v>27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/>
      <c r="S64" s="6">
        <f>SUM(M64:Q64)</f>
        <v>0</v>
      </c>
      <c r="T64" s="6">
        <f>COUNTIFS($Y:$Y, Y64, $S:$S, "&gt;"&amp;S64) + 1</f>
        <v>54</v>
      </c>
      <c r="U64" s="6">
        <f>0.85*E64+T64*0.15</f>
        <v>61.65</v>
      </c>
      <c r="V64" s="6">
        <f>100.4-0.4*W64</f>
        <v>75.2</v>
      </c>
      <c r="W64" s="6">
        <f>COUNTIFS($Y:$Y, Y64, $U:$U, "&lt;"&amp;U64) + 1</f>
        <v>63</v>
      </c>
      <c r="X64" s="5">
        <v>64</v>
      </c>
      <c r="Y64" s="6" t="s">
        <v>245</v>
      </c>
      <c r="Z64" s="10"/>
    </row>
    <row r="65" spans="1:26">
      <c r="A65" s="5">
        <v>290</v>
      </c>
      <c r="B65" s="5">
        <v>1120212056</v>
      </c>
      <c r="C65" s="6" t="s">
        <v>307</v>
      </c>
      <c r="D65" s="6" t="str">
        <f>VLOOKUP([1]成绩单!B65,[1]Sheet1!$A:$K,4,0)</f>
        <v>精工2312</v>
      </c>
      <c r="E65" s="5">
        <v>64</v>
      </c>
      <c r="F65" s="7">
        <v>1</v>
      </c>
      <c r="G65" s="8">
        <v>24.512</v>
      </c>
      <c r="H65" s="5">
        <v>54</v>
      </c>
      <c r="I65" s="9">
        <v>124.5</v>
      </c>
      <c r="J65" s="5">
        <v>34</v>
      </c>
      <c r="K65" s="5">
        <v>25</v>
      </c>
      <c r="L65" s="6" t="s">
        <v>96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/>
      <c r="S65" s="6">
        <f>SUM(M65:Q65)</f>
        <v>0</v>
      </c>
      <c r="T65" s="6">
        <f>COUNTIFS($Y:$Y, Y65, $S:$S, "&gt;"&amp;S65) + 1</f>
        <v>54</v>
      </c>
      <c r="U65" s="6">
        <f>0.85*E65+T65*0.15</f>
        <v>62.5</v>
      </c>
      <c r="V65" s="6">
        <f>100.4-0.4*W65</f>
        <v>74.800000000000011</v>
      </c>
      <c r="W65" s="6">
        <f>COUNTIFS($Y:$Y, Y65, $U:$U, "&lt;"&amp;U65) + 1</f>
        <v>64</v>
      </c>
      <c r="X65" s="5">
        <v>64</v>
      </c>
      <c r="Y65" s="6" t="s">
        <v>245</v>
      </c>
      <c r="Z65" s="10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6AD1-E66F-46B2-A693-72D5CC98BAB6}">
  <dimension ref="A1:Z30"/>
  <sheetViews>
    <sheetView topLeftCell="A15" workbookViewId="0">
      <selection activeCell="A31" sqref="A31:Z92"/>
    </sheetView>
  </sheetViews>
  <sheetFormatPr defaultRowHeight="13.9"/>
  <sheetData>
    <row r="1" spans="1:26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spans="1:26">
      <c r="A2" s="5">
        <v>301</v>
      </c>
      <c r="B2" s="5">
        <v>1120232888</v>
      </c>
      <c r="C2" s="6" t="s">
        <v>308</v>
      </c>
      <c r="D2" s="6" t="str">
        <f>VLOOKUP([1]成绩单!B2,[1]Sheet1!$A:$K,4,0)</f>
        <v>精工2310</v>
      </c>
      <c r="E2" s="5">
        <v>1</v>
      </c>
      <c r="F2" s="7">
        <v>3.4483E-2</v>
      </c>
      <c r="G2" s="8">
        <v>92.686899999999994</v>
      </c>
      <c r="H2" s="5">
        <v>62</v>
      </c>
      <c r="I2" s="9">
        <v>144.5</v>
      </c>
      <c r="J2" s="5">
        <v>0</v>
      </c>
      <c r="K2" s="5">
        <v>0</v>
      </c>
      <c r="L2" s="6" t="s">
        <v>27</v>
      </c>
      <c r="M2" s="6">
        <v>2.4</v>
      </c>
      <c r="N2" s="6">
        <v>11.8</v>
      </c>
      <c r="O2" s="6">
        <v>13.4</v>
      </c>
      <c r="P2" s="6">
        <v>20.9</v>
      </c>
      <c r="Q2" s="6">
        <v>26.44</v>
      </c>
      <c r="R2" s="6"/>
      <c r="S2" s="6">
        <f>SUM(M2:Q2)</f>
        <v>74.94</v>
      </c>
      <c r="T2" s="6">
        <f>COUNTIFS($Y:$Y, Y2, $S:$S, "&gt;"&amp;S2) + 1</f>
        <v>1</v>
      </c>
      <c r="U2" s="6">
        <f>0.85*E2+T2*0.15</f>
        <v>1</v>
      </c>
      <c r="V2" s="6">
        <f>100.4-0.4*W2</f>
        <v>100</v>
      </c>
      <c r="W2" s="6">
        <f>COUNTIFS($Y:$Y, Y2, $U:$U, "&lt;"&amp;U2) + 1</f>
        <v>1</v>
      </c>
      <c r="X2" s="5">
        <v>29</v>
      </c>
      <c r="Y2" s="6" t="s">
        <v>309</v>
      </c>
      <c r="Z2" s="10"/>
    </row>
    <row r="3" spans="1:26">
      <c r="A3" s="5">
        <v>302</v>
      </c>
      <c r="B3" s="5">
        <v>1120232510</v>
      </c>
      <c r="C3" s="6" t="s">
        <v>310</v>
      </c>
      <c r="D3" s="6" t="str">
        <f>VLOOKUP([1]成绩单!B3,[1]Sheet1!$A:$K,4,0)</f>
        <v>精工2311</v>
      </c>
      <c r="E3" s="5">
        <v>2</v>
      </c>
      <c r="F3" s="7">
        <v>6.8966E-2</v>
      </c>
      <c r="G3" s="8">
        <v>90.549800000000005</v>
      </c>
      <c r="H3" s="5">
        <v>65</v>
      </c>
      <c r="I3" s="9">
        <v>150.5</v>
      </c>
      <c r="J3" s="5">
        <v>0</v>
      </c>
      <c r="K3" s="5">
        <v>0</v>
      </c>
      <c r="L3" s="6" t="s">
        <v>27</v>
      </c>
      <c r="M3" s="6">
        <v>3.1</v>
      </c>
      <c r="N3" s="6">
        <v>4.7</v>
      </c>
      <c r="O3" s="6">
        <v>8.3000000000000007</v>
      </c>
      <c r="P3" s="6">
        <v>10.6</v>
      </c>
      <c r="Q3" s="6">
        <v>19.100000000000001</v>
      </c>
      <c r="R3" s="6"/>
      <c r="S3" s="6">
        <f>SUM(M3:Q3)</f>
        <v>45.800000000000004</v>
      </c>
      <c r="T3" s="6">
        <f>COUNTIFS($Y:$Y, Y3, $S:$S, "&gt;"&amp;S3) + 1</f>
        <v>3</v>
      </c>
      <c r="U3" s="6">
        <f>0.85*E3+T3*0.15</f>
        <v>2.15</v>
      </c>
      <c r="V3" s="6">
        <f>100.4-0.4*W3</f>
        <v>99.600000000000009</v>
      </c>
      <c r="W3" s="6">
        <f>COUNTIFS($Y:$Y, Y3, $U:$U, "&lt;"&amp;U3) + 1</f>
        <v>2</v>
      </c>
      <c r="X3" s="5">
        <v>29</v>
      </c>
      <c r="Y3" s="6" t="s">
        <v>309</v>
      </c>
      <c r="Z3" s="10"/>
    </row>
    <row r="4" spans="1:26">
      <c r="A4" s="5">
        <v>303</v>
      </c>
      <c r="B4" s="5">
        <v>1120231521</v>
      </c>
      <c r="C4" s="6" t="s">
        <v>311</v>
      </c>
      <c r="D4" s="6" t="str">
        <f>VLOOKUP([1]成绩单!B4,[1]Sheet1!$A:$K,4,0)</f>
        <v>精工2310</v>
      </c>
      <c r="E4" s="5">
        <v>3</v>
      </c>
      <c r="F4" s="7">
        <v>0.103448</v>
      </c>
      <c r="G4" s="8">
        <v>90.044399999999996</v>
      </c>
      <c r="H4" s="5">
        <v>64</v>
      </c>
      <c r="I4" s="9">
        <v>146.5</v>
      </c>
      <c r="J4" s="5">
        <v>0</v>
      </c>
      <c r="K4" s="5">
        <v>0</v>
      </c>
      <c r="L4" s="6" t="s">
        <v>27</v>
      </c>
      <c r="M4" s="6">
        <v>5.5</v>
      </c>
      <c r="N4" s="6">
        <v>3.45</v>
      </c>
      <c r="O4" s="6">
        <v>3.5</v>
      </c>
      <c r="P4" s="6">
        <v>5.9</v>
      </c>
      <c r="Q4" s="6">
        <v>7.3</v>
      </c>
      <c r="R4" s="6"/>
      <c r="S4" s="6">
        <f>SUM(M4:Q4)</f>
        <v>25.650000000000002</v>
      </c>
      <c r="T4" s="6">
        <f>COUNTIFS($Y:$Y, Y4, $S:$S, "&gt;"&amp;S4) + 1</f>
        <v>7</v>
      </c>
      <c r="U4" s="6">
        <f>0.85*E4+T4*0.15</f>
        <v>3.5999999999999996</v>
      </c>
      <c r="V4" s="6">
        <f>100.4-0.4*W4</f>
        <v>99.2</v>
      </c>
      <c r="W4" s="6">
        <f>COUNTIFS($Y:$Y, Y4, $U:$U, "&lt;"&amp;U4) + 1</f>
        <v>3</v>
      </c>
      <c r="X4" s="5">
        <v>29</v>
      </c>
      <c r="Y4" s="6" t="s">
        <v>309</v>
      </c>
      <c r="Z4" s="10"/>
    </row>
    <row r="5" spans="1:26">
      <c r="A5" s="5">
        <v>304</v>
      </c>
      <c r="B5" s="5">
        <v>1120231611</v>
      </c>
      <c r="C5" s="6" t="s">
        <v>312</v>
      </c>
      <c r="D5" s="6" t="str">
        <f>VLOOKUP([1]成绩单!B5,[1]Sheet1!$A:$K,4,0)</f>
        <v>精工2311</v>
      </c>
      <c r="E5" s="5">
        <v>4</v>
      </c>
      <c r="F5" s="7">
        <v>0.137931</v>
      </c>
      <c r="G5" s="8">
        <v>88.0565</v>
      </c>
      <c r="H5" s="5">
        <v>63</v>
      </c>
      <c r="I5" s="5">
        <v>146</v>
      </c>
      <c r="J5" s="5">
        <v>0</v>
      </c>
      <c r="K5" s="5">
        <v>0</v>
      </c>
      <c r="L5" s="6" t="s">
        <v>27</v>
      </c>
      <c r="M5" s="6">
        <v>3.9</v>
      </c>
      <c r="N5" s="6">
        <v>7</v>
      </c>
      <c r="O5" s="6">
        <v>4.7</v>
      </c>
      <c r="P5" s="6">
        <v>14</v>
      </c>
      <c r="Q5" s="6">
        <v>7.8</v>
      </c>
      <c r="R5" s="6"/>
      <c r="S5" s="6">
        <f>SUM(M5:Q5)</f>
        <v>37.4</v>
      </c>
      <c r="T5" s="6">
        <f>COUNTIFS($Y:$Y, Y5, $S:$S, "&gt;"&amp;S5) + 1</f>
        <v>4</v>
      </c>
      <c r="U5" s="6">
        <f>0.85*E5+T5*0.15</f>
        <v>4</v>
      </c>
      <c r="V5" s="6">
        <f>100.4-0.4*W5</f>
        <v>98.800000000000011</v>
      </c>
      <c r="W5" s="6">
        <f>COUNTIFS($Y:$Y, Y5, $U:$U, "&lt;"&amp;U5) + 1</f>
        <v>4</v>
      </c>
      <c r="X5" s="5">
        <v>29</v>
      </c>
      <c r="Y5" s="6" t="s">
        <v>309</v>
      </c>
      <c r="Z5" s="10"/>
    </row>
    <row r="6" spans="1:26">
      <c r="A6" s="5">
        <v>305</v>
      </c>
      <c r="B6" s="5">
        <v>1120232891</v>
      </c>
      <c r="C6" s="6" t="s">
        <v>313</v>
      </c>
      <c r="D6" s="6" t="str">
        <f>VLOOKUP([1]成绩单!B7,[1]Sheet1!$A:$K,4,0)</f>
        <v>精工2312</v>
      </c>
      <c r="E6" s="5">
        <v>6</v>
      </c>
      <c r="F6" s="7">
        <v>0.206897</v>
      </c>
      <c r="G6" s="8">
        <v>87.975800000000007</v>
      </c>
      <c r="H6" s="5">
        <v>62</v>
      </c>
      <c r="I6" s="9">
        <v>144.5</v>
      </c>
      <c r="J6" s="5">
        <v>0</v>
      </c>
      <c r="K6" s="5">
        <v>0</v>
      </c>
      <c r="L6" s="6" t="s">
        <v>27</v>
      </c>
      <c r="M6" s="6">
        <v>5.8</v>
      </c>
      <c r="N6" s="6">
        <v>8.1</v>
      </c>
      <c r="O6" s="6">
        <v>7.7</v>
      </c>
      <c r="P6" s="6">
        <v>16.3</v>
      </c>
      <c r="Q6" s="6">
        <v>12.94</v>
      </c>
      <c r="R6" s="6"/>
      <c r="S6" s="6">
        <f>SUM(M6:Q6)</f>
        <v>50.839999999999996</v>
      </c>
      <c r="T6" s="6">
        <f>COUNTIFS($Y:$Y, Y6, $S:$S, "&gt;"&amp;S6) + 1</f>
        <v>2</v>
      </c>
      <c r="U6" s="6">
        <f>0.85*E6+T6*0.15</f>
        <v>5.3999999999999995</v>
      </c>
      <c r="V6" s="6">
        <f>100.4-0.4*W6</f>
        <v>98.4</v>
      </c>
      <c r="W6" s="6">
        <f>COUNTIFS($Y:$Y, Y6, $U:$U, "&lt;"&amp;U6) + 1</f>
        <v>5</v>
      </c>
      <c r="X6" s="5">
        <v>29</v>
      </c>
      <c r="Y6" s="6" t="s">
        <v>309</v>
      </c>
      <c r="Z6" s="10"/>
    </row>
    <row r="7" spans="1:26">
      <c r="A7" s="5">
        <v>306</v>
      </c>
      <c r="B7" s="5">
        <v>1120234026</v>
      </c>
      <c r="C7" s="6" t="s">
        <v>314</v>
      </c>
      <c r="D7" s="6" t="str">
        <f>VLOOKUP([1]成绩单!B6,[1]Sheet1!$A:$K,4,0)</f>
        <v>精工2310</v>
      </c>
      <c r="E7" s="5">
        <v>5</v>
      </c>
      <c r="F7" s="7">
        <v>0.17241400000000001</v>
      </c>
      <c r="G7" s="8">
        <v>88.008700000000005</v>
      </c>
      <c r="H7" s="5">
        <v>62</v>
      </c>
      <c r="I7" s="9">
        <v>144.5</v>
      </c>
      <c r="J7" s="5">
        <v>0</v>
      </c>
      <c r="K7" s="5">
        <v>0</v>
      </c>
      <c r="L7" s="6" t="s">
        <v>27</v>
      </c>
      <c r="M7" s="6">
        <v>0.8</v>
      </c>
      <c r="N7" s="6">
        <v>2</v>
      </c>
      <c r="O7" s="6">
        <v>1.5</v>
      </c>
      <c r="P7" s="6">
        <v>4.2</v>
      </c>
      <c r="Q7" s="6">
        <v>10.7</v>
      </c>
      <c r="R7" s="6"/>
      <c r="S7" s="6">
        <f>SUM(M7:Q7)</f>
        <v>19.2</v>
      </c>
      <c r="T7" s="6">
        <f>COUNTIFS($Y:$Y, Y7, $S:$S, "&gt;"&amp;S7) + 1</f>
        <v>11</v>
      </c>
      <c r="U7" s="6">
        <f>0.85*E7+T7*0.15</f>
        <v>5.9</v>
      </c>
      <c r="V7" s="6">
        <f>100.4-0.4*W7</f>
        <v>98</v>
      </c>
      <c r="W7" s="6">
        <f>COUNTIFS($Y:$Y, Y7, $U:$U, "&lt;"&amp;U7) + 1</f>
        <v>6</v>
      </c>
      <c r="X7" s="5">
        <v>29</v>
      </c>
      <c r="Y7" s="6" t="s">
        <v>309</v>
      </c>
      <c r="Z7" s="10"/>
    </row>
    <row r="8" spans="1:26">
      <c r="A8" s="5">
        <v>307</v>
      </c>
      <c r="B8" s="5">
        <v>1120232223</v>
      </c>
      <c r="C8" s="6" t="s">
        <v>315</v>
      </c>
      <c r="D8" s="6" t="str">
        <f>VLOOKUP([1]成绩单!B8,[1]Sheet1!$A:$K,4,0)</f>
        <v>精工2313</v>
      </c>
      <c r="E8" s="5">
        <v>7</v>
      </c>
      <c r="F8" s="7">
        <v>0.24137900000000001</v>
      </c>
      <c r="G8" s="8">
        <v>87.425299999999993</v>
      </c>
      <c r="H8" s="5">
        <v>62</v>
      </c>
      <c r="I8" s="5">
        <v>144</v>
      </c>
      <c r="J8" s="5">
        <v>0</v>
      </c>
      <c r="K8" s="5">
        <v>0</v>
      </c>
      <c r="L8" s="6" t="s">
        <v>27</v>
      </c>
      <c r="M8" s="6">
        <v>3.9</v>
      </c>
      <c r="N8" s="6">
        <v>6.7</v>
      </c>
      <c r="O8" s="6">
        <v>5.5</v>
      </c>
      <c r="P8" s="6">
        <v>8.65</v>
      </c>
      <c r="Q8" s="6">
        <v>10</v>
      </c>
      <c r="R8" s="6"/>
      <c r="S8" s="6">
        <f>SUM(M8:Q8)</f>
        <v>34.75</v>
      </c>
      <c r="T8" s="6">
        <f>COUNTIFS($Y:$Y, Y8, $S:$S, "&gt;"&amp;S8) + 1</f>
        <v>5</v>
      </c>
      <c r="U8" s="6">
        <f>0.85*E8+T8*0.15</f>
        <v>6.7</v>
      </c>
      <c r="V8" s="6">
        <f>100.4-0.4*W8</f>
        <v>97.600000000000009</v>
      </c>
      <c r="W8" s="6">
        <f>COUNTIFS($Y:$Y, Y8, $U:$U, "&lt;"&amp;U8) + 1</f>
        <v>7</v>
      </c>
      <c r="X8" s="5">
        <v>29</v>
      </c>
      <c r="Y8" s="6" t="s">
        <v>309</v>
      </c>
      <c r="Z8" s="10"/>
    </row>
    <row r="9" spans="1:26">
      <c r="A9" s="5">
        <v>308</v>
      </c>
      <c r="B9" s="5">
        <v>1120232883</v>
      </c>
      <c r="C9" s="6" t="s">
        <v>316</v>
      </c>
      <c r="D9" s="6" t="str">
        <f>VLOOKUP([1]成绩单!B9,[1]Sheet1!$A:$K,4,0)</f>
        <v>精工2311</v>
      </c>
      <c r="E9" s="5">
        <v>8</v>
      </c>
      <c r="F9" s="7">
        <v>0.275862</v>
      </c>
      <c r="G9" s="8">
        <v>84.319500000000005</v>
      </c>
      <c r="H9" s="5">
        <v>59</v>
      </c>
      <c r="I9" s="9">
        <v>138.5</v>
      </c>
      <c r="J9" s="5">
        <v>0</v>
      </c>
      <c r="K9" s="5">
        <v>0</v>
      </c>
      <c r="L9" s="6" t="s">
        <v>27</v>
      </c>
      <c r="M9" s="6">
        <v>0.5</v>
      </c>
      <c r="N9" s="6">
        <v>1</v>
      </c>
      <c r="O9" s="6">
        <v>5.5</v>
      </c>
      <c r="P9" s="6">
        <v>1</v>
      </c>
      <c r="Q9" s="6">
        <v>13</v>
      </c>
      <c r="R9" s="6"/>
      <c r="S9" s="6">
        <f>SUM(M9:Q9)</f>
        <v>21</v>
      </c>
      <c r="T9" s="6">
        <f>COUNTIFS($Y:$Y, Y9, $S:$S, "&gt;"&amp;S9) + 1</f>
        <v>9</v>
      </c>
      <c r="U9" s="6">
        <f>0.85*E9+T9*0.15</f>
        <v>8.15</v>
      </c>
      <c r="V9" s="6">
        <f>100.4-0.4*W9</f>
        <v>97.2</v>
      </c>
      <c r="W9" s="6">
        <f>COUNTIFS($Y:$Y, Y9, $U:$U, "&lt;"&amp;U9) + 1</f>
        <v>8</v>
      </c>
      <c r="X9" s="5">
        <v>29</v>
      </c>
      <c r="Y9" s="6" t="s">
        <v>309</v>
      </c>
      <c r="Z9" s="10"/>
    </row>
    <row r="10" spans="1:26">
      <c r="A10" s="5">
        <v>309</v>
      </c>
      <c r="B10" s="5">
        <v>1120231774</v>
      </c>
      <c r="C10" s="6" t="s">
        <v>317</v>
      </c>
      <c r="D10" s="6" t="str">
        <f>VLOOKUP([1]成绩单!B10,[1]Sheet1!$A:$K,4,0)</f>
        <v>精工2312</v>
      </c>
      <c r="E10" s="5">
        <v>9</v>
      </c>
      <c r="F10" s="7">
        <v>0.31034499999999998</v>
      </c>
      <c r="G10" s="8">
        <v>84.105999999999995</v>
      </c>
      <c r="H10" s="5">
        <v>61</v>
      </c>
      <c r="I10" s="9">
        <v>141.5</v>
      </c>
      <c r="J10" s="5">
        <v>0</v>
      </c>
      <c r="K10" s="5">
        <v>0</v>
      </c>
      <c r="L10" s="6" t="s">
        <v>27</v>
      </c>
      <c r="M10" s="6">
        <v>3.6</v>
      </c>
      <c r="N10" s="6">
        <v>2.5</v>
      </c>
      <c r="O10" s="6">
        <v>2.9</v>
      </c>
      <c r="P10" s="6">
        <v>3.5</v>
      </c>
      <c r="Q10" s="6">
        <v>6.8</v>
      </c>
      <c r="R10" s="6"/>
      <c r="S10" s="6">
        <f>SUM(M10:Q10)</f>
        <v>19.3</v>
      </c>
      <c r="T10" s="6">
        <f>COUNTIFS($Y:$Y, Y10, $S:$S, "&gt;"&amp;S10) + 1</f>
        <v>10</v>
      </c>
      <c r="U10" s="6">
        <f>0.85*E10+T10*0.15</f>
        <v>9.1499999999999986</v>
      </c>
      <c r="V10" s="6">
        <f>100.4-0.4*W10</f>
        <v>96.800000000000011</v>
      </c>
      <c r="W10" s="6">
        <f>COUNTIFS($Y:$Y, Y10, $U:$U, "&lt;"&amp;U10) + 1</f>
        <v>9</v>
      </c>
      <c r="X10" s="5">
        <v>29</v>
      </c>
      <c r="Y10" s="6" t="s">
        <v>309</v>
      </c>
      <c r="Z10" s="10"/>
    </row>
    <row r="11" spans="1:26">
      <c r="A11" s="5">
        <v>310</v>
      </c>
      <c r="B11" s="5">
        <v>1120232906</v>
      </c>
      <c r="C11" s="6" t="s">
        <v>318</v>
      </c>
      <c r="D11" s="6" t="str">
        <f>VLOOKUP([1]成绩单!B11,[1]Sheet1!$A:$K,4,0)</f>
        <v>精工2311</v>
      </c>
      <c r="E11" s="5">
        <v>10</v>
      </c>
      <c r="F11" s="7">
        <v>0.34482800000000002</v>
      </c>
      <c r="G11" s="8">
        <v>84.010300000000001</v>
      </c>
      <c r="H11" s="5">
        <v>63</v>
      </c>
      <c r="I11" s="9">
        <v>145.5</v>
      </c>
      <c r="J11" s="5">
        <v>1</v>
      </c>
      <c r="K11" s="5">
        <v>1</v>
      </c>
      <c r="L11" s="6" t="s">
        <v>27</v>
      </c>
      <c r="M11" s="6">
        <v>0.45</v>
      </c>
      <c r="N11" s="6">
        <v>1</v>
      </c>
      <c r="O11" s="6">
        <v>4.5</v>
      </c>
      <c r="P11" s="6">
        <v>0.95</v>
      </c>
      <c r="Q11" s="6">
        <v>9.5</v>
      </c>
      <c r="R11" s="6"/>
      <c r="S11" s="6">
        <f>SUM(M11:Q11)</f>
        <v>16.399999999999999</v>
      </c>
      <c r="T11" s="6">
        <f>COUNTIFS($Y:$Y, Y11, $S:$S, "&gt;"&amp;S11) + 1</f>
        <v>12</v>
      </c>
      <c r="U11" s="6">
        <f>0.85*E11+T11*0.15</f>
        <v>10.3</v>
      </c>
      <c r="V11" s="6">
        <f>100.4-0.4*W11</f>
        <v>96.4</v>
      </c>
      <c r="W11" s="6">
        <f>COUNTIFS($Y:$Y, Y11, $U:$U, "&lt;"&amp;U11) + 1</f>
        <v>10</v>
      </c>
      <c r="X11" s="5">
        <v>29</v>
      </c>
      <c r="Y11" s="6" t="s">
        <v>309</v>
      </c>
      <c r="Z11" s="10"/>
    </row>
    <row r="12" spans="1:26">
      <c r="A12" s="5">
        <v>311</v>
      </c>
      <c r="B12" s="5">
        <v>1120232198</v>
      </c>
      <c r="C12" s="6" t="s">
        <v>319</v>
      </c>
      <c r="D12" s="6" t="str">
        <f>VLOOKUP([1]成绩单!B13,[1]Sheet1!$A:$K,4,0)</f>
        <v>精工2313</v>
      </c>
      <c r="E12" s="5">
        <v>12</v>
      </c>
      <c r="F12" s="7">
        <v>0.41379300000000002</v>
      </c>
      <c r="G12" s="8">
        <v>83.087699999999998</v>
      </c>
      <c r="H12" s="5">
        <v>61</v>
      </c>
      <c r="I12" s="9">
        <v>142.5</v>
      </c>
      <c r="J12" s="5">
        <v>0</v>
      </c>
      <c r="K12" s="5">
        <v>0</v>
      </c>
      <c r="L12" s="6" t="s">
        <v>27</v>
      </c>
      <c r="M12" s="6">
        <v>2.2000000000000002</v>
      </c>
      <c r="N12" s="6">
        <v>4.5</v>
      </c>
      <c r="O12" s="6">
        <v>3.25</v>
      </c>
      <c r="P12" s="6">
        <v>6.1</v>
      </c>
      <c r="Q12" s="6">
        <v>5.9</v>
      </c>
      <c r="R12" s="6"/>
      <c r="S12" s="6">
        <f>SUM(M12:Q12)</f>
        <v>21.949999999999996</v>
      </c>
      <c r="T12" s="6">
        <f>COUNTIFS($Y:$Y, Y12, $S:$S, "&gt;"&amp;S12) + 1</f>
        <v>8</v>
      </c>
      <c r="U12" s="6">
        <f>0.85*E12+T12*0.15</f>
        <v>11.399999999999999</v>
      </c>
      <c r="V12" s="6">
        <f>100.4-0.4*W12</f>
        <v>96</v>
      </c>
      <c r="W12" s="6">
        <f>COUNTIFS($Y:$Y, Y12, $U:$U, "&lt;"&amp;U12) + 1</f>
        <v>11</v>
      </c>
      <c r="X12" s="5">
        <v>29</v>
      </c>
      <c r="Y12" s="6" t="s">
        <v>309</v>
      </c>
      <c r="Z12" s="10"/>
    </row>
    <row r="13" spans="1:26">
      <c r="A13" s="5">
        <v>312</v>
      </c>
      <c r="B13" s="5">
        <v>1120231768</v>
      </c>
      <c r="C13" s="6" t="s">
        <v>320</v>
      </c>
      <c r="D13" s="6" t="str">
        <f>VLOOKUP([1]成绩单!B12,[1]Sheet1!$A:$K,4,0)</f>
        <v>精工2312</v>
      </c>
      <c r="E13" s="5">
        <v>11</v>
      </c>
      <c r="F13" s="7">
        <v>0.37930999999999998</v>
      </c>
      <c r="G13" s="8">
        <v>83.802800000000005</v>
      </c>
      <c r="H13" s="5">
        <v>62</v>
      </c>
      <c r="I13" s="9">
        <v>144.5</v>
      </c>
      <c r="J13" s="5">
        <v>0</v>
      </c>
      <c r="K13" s="5">
        <v>0</v>
      </c>
      <c r="L13" s="6" t="s">
        <v>27</v>
      </c>
      <c r="M13" s="6">
        <v>3.2</v>
      </c>
      <c r="N13" s="6">
        <v>1.2</v>
      </c>
      <c r="O13" s="6">
        <v>1.5</v>
      </c>
      <c r="P13" s="6">
        <v>2.4</v>
      </c>
      <c r="Q13" s="6">
        <v>2.7</v>
      </c>
      <c r="R13" s="6"/>
      <c r="S13" s="6">
        <f>SUM(M13:Q13)</f>
        <v>11</v>
      </c>
      <c r="T13" s="6">
        <f>COUNTIFS($Y:$Y, Y13, $S:$S, "&gt;"&amp;S13) + 1</f>
        <v>17</v>
      </c>
      <c r="U13" s="6">
        <f>0.85*E13+T13*0.15</f>
        <v>11.899999999999999</v>
      </c>
      <c r="V13" s="6">
        <f>100.4-0.4*W13</f>
        <v>95.600000000000009</v>
      </c>
      <c r="W13" s="6">
        <f>COUNTIFS($Y:$Y, Y13, $U:$U, "&lt;"&amp;U13) + 1</f>
        <v>12</v>
      </c>
      <c r="X13" s="5">
        <v>29</v>
      </c>
      <c r="Y13" s="6" t="s">
        <v>309</v>
      </c>
      <c r="Z13" s="10"/>
    </row>
    <row r="14" spans="1:26">
      <c r="A14" s="5">
        <v>313</v>
      </c>
      <c r="B14" s="5">
        <v>1120232898</v>
      </c>
      <c r="C14" s="6" t="s">
        <v>321</v>
      </c>
      <c r="D14" s="6" t="str">
        <f>VLOOKUP([1]成绩单!B14,[1]Sheet1!$A:$K,4,0)</f>
        <v>精工2313</v>
      </c>
      <c r="E14" s="5">
        <v>13</v>
      </c>
      <c r="F14" s="7">
        <v>0.44827600000000001</v>
      </c>
      <c r="G14" s="8">
        <v>82.980599999999995</v>
      </c>
      <c r="H14" s="5">
        <v>60</v>
      </c>
      <c r="I14" s="9">
        <v>141.5</v>
      </c>
      <c r="J14" s="5">
        <v>0</v>
      </c>
      <c r="K14" s="5">
        <v>0</v>
      </c>
      <c r="L14" s="6" t="s">
        <v>27</v>
      </c>
      <c r="M14" s="6">
        <v>2</v>
      </c>
      <c r="N14" s="6">
        <v>1.8</v>
      </c>
      <c r="O14" s="6">
        <v>4</v>
      </c>
      <c r="P14" s="6">
        <v>2</v>
      </c>
      <c r="Q14" s="6">
        <v>5.3</v>
      </c>
      <c r="R14" s="6"/>
      <c r="S14" s="6">
        <f>SUM(M14:Q14)</f>
        <v>15.100000000000001</v>
      </c>
      <c r="T14" s="6">
        <f>COUNTIFS($Y:$Y, Y14, $S:$S, "&gt;"&amp;S14) + 1</f>
        <v>14</v>
      </c>
      <c r="U14" s="6">
        <f>0.85*E14+T14*0.15</f>
        <v>13.149999999999999</v>
      </c>
      <c r="V14" s="6">
        <f>100.4-0.4*W14</f>
        <v>95.2</v>
      </c>
      <c r="W14" s="6">
        <f>COUNTIFS($Y:$Y, Y14, $U:$U, "&lt;"&amp;U14) + 1</f>
        <v>13</v>
      </c>
      <c r="X14" s="5">
        <v>29</v>
      </c>
      <c r="Y14" s="6" t="s">
        <v>309</v>
      </c>
      <c r="Z14" s="10"/>
    </row>
    <row r="15" spans="1:26">
      <c r="A15" s="5">
        <v>314</v>
      </c>
      <c r="B15" s="12">
        <v>1120231528</v>
      </c>
      <c r="C15" s="13" t="s">
        <v>322</v>
      </c>
      <c r="D15" s="6" t="str">
        <f>VLOOKUP([1]成绩单!B15,[1]Sheet1!$A:$K,4,0)</f>
        <v>精工2311</v>
      </c>
      <c r="E15" s="12">
        <v>14</v>
      </c>
      <c r="F15" s="14">
        <v>0.48275899999999999</v>
      </c>
      <c r="G15" s="15">
        <v>81.418099999999995</v>
      </c>
      <c r="H15" s="12">
        <v>60</v>
      </c>
      <c r="I15" s="16">
        <v>140.5</v>
      </c>
      <c r="J15" s="12">
        <v>0</v>
      </c>
      <c r="K15" s="12">
        <v>0</v>
      </c>
      <c r="L15" s="13" t="s">
        <v>27</v>
      </c>
      <c r="M15" s="6">
        <v>1.4</v>
      </c>
      <c r="N15" s="6">
        <v>2.8</v>
      </c>
      <c r="O15" s="6">
        <v>1.45</v>
      </c>
      <c r="P15" s="6">
        <v>0.7</v>
      </c>
      <c r="Q15" s="6">
        <v>3.4</v>
      </c>
      <c r="R15" s="13"/>
      <c r="S15" s="6">
        <f>SUM(M15:Q15)</f>
        <v>9.75</v>
      </c>
      <c r="T15" s="6">
        <f>COUNTIFS($Y:$Y, Y15, $S:$S, "&gt;"&amp;S15) + 1</f>
        <v>19</v>
      </c>
      <c r="U15" s="6">
        <f>0.85*E15+T15*0.15</f>
        <v>14.75</v>
      </c>
      <c r="V15" s="6">
        <f>100.4-0.4*W15</f>
        <v>94.800000000000011</v>
      </c>
      <c r="W15" s="6">
        <f>COUNTIFS($Y:$Y, Y15, $U:$U, "&lt;"&amp;U15) + 1</f>
        <v>14</v>
      </c>
      <c r="X15" s="12">
        <v>29</v>
      </c>
      <c r="Y15" s="13" t="s">
        <v>309</v>
      </c>
      <c r="Z15" s="17"/>
    </row>
    <row r="16" spans="1:26">
      <c r="A16" s="5">
        <v>315</v>
      </c>
      <c r="B16" s="5">
        <v>1120232756</v>
      </c>
      <c r="C16" s="6" t="s">
        <v>323</v>
      </c>
      <c r="D16" s="6" t="str">
        <f>VLOOKUP([1]成绩单!B16,[1]Sheet1!$A:$K,4,0)</f>
        <v>精工2310</v>
      </c>
      <c r="E16" s="5">
        <v>15</v>
      </c>
      <c r="F16" s="7">
        <v>0.51724099999999995</v>
      </c>
      <c r="G16" s="8">
        <v>81.129900000000006</v>
      </c>
      <c r="H16" s="5">
        <v>59</v>
      </c>
      <c r="I16" s="9">
        <v>140.5</v>
      </c>
      <c r="J16" s="5">
        <v>0</v>
      </c>
      <c r="K16" s="5">
        <v>0</v>
      </c>
      <c r="L16" s="6" t="s">
        <v>27</v>
      </c>
      <c r="M16" s="6">
        <v>0.2</v>
      </c>
      <c r="N16" s="6">
        <v>0.3</v>
      </c>
      <c r="O16" s="6">
        <v>1.8</v>
      </c>
      <c r="P16" s="6">
        <v>1.5</v>
      </c>
      <c r="Q16" s="6">
        <v>4.7</v>
      </c>
      <c r="R16" s="6"/>
      <c r="S16" s="6">
        <f>SUM(M16:Q16)</f>
        <v>8.5</v>
      </c>
      <c r="T16" s="6">
        <f>COUNTIFS($Y:$Y, Y16, $S:$S, "&gt;"&amp;S16) + 1</f>
        <v>20</v>
      </c>
      <c r="U16" s="6">
        <f>0.85*E16+T16*0.15</f>
        <v>15.75</v>
      </c>
      <c r="V16" s="6">
        <f>100.4-0.4*W16</f>
        <v>94.4</v>
      </c>
      <c r="W16" s="6">
        <f>COUNTIFS($Y:$Y, Y16, $U:$U, "&lt;"&amp;U16) + 1</f>
        <v>15</v>
      </c>
      <c r="X16" s="5">
        <v>29</v>
      </c>
      <c r="Y16" s="6" t="s">
        <v>309</v>
      </c>
      <c r="Z16" s="10"/>
    </row>
    <row r="17" spans="1:26">
      <c r="A17" s="5">
        <v>316</v>
      </c>
      <c r="B17" s="5">
        <v>1120231748</v>
      </c>
      <c r="C17" s="6" t="s">
        <v>324</v>
      </c>
      <c r="D17" s="6" t="str">
        <f>VLOOKUP([1]成绩单!B19,[1]Sheet1!$A:$K,4,0)</f>
        <v>精工2311</v>
      </c>
      <c r="E17" s="5">
        <v>18</v>
      </c>
      <c r="F17" s="7">
        <v>0.62068999999999996</v>
      </c>
      <c r="G17" s="8">
        <v>79.224500000000006</v>
      </c>
      <c r="H17" s="5">
        <v>63</v>
      </c>
      <c r="I17" s="5">
        <v>147</v>
      </c>
      <c r="J17" s="5">
        <v>2</v>
      </c>
      <c r="K17" s="5">
        <v>0</v>
      </c>
      <c r="L17" s="6" t="s">
        <v>27</v>
      </c>
      <c r="M17" s="6">
        <v>3.9</v>
      </c>
      <c r="N17" s="6">
        <v>4.5999999999999996</v>
      </c>
      <c r="O17" s="6">
        <v>6.5</v>
      </c>
      <c r="P17" s="6">
        <v>15.75</v>
      </c>
      <c r="Q17" s="6">
        <v>2.85</v>
      </c>
      <c r="R17" s="6"/>
      <c r="S17" s="6">
        <f>SUM(M17:Q17)</f>
        <v>33.6</v>
      </c>
      <c r="T17" s="6">
        <f>COUNTIFS($Y:$Y, Y17, $S:$S, "&gt;"&amp;S17) + 1</f>
        <v>6</v>
      </c>
      <c r="U17" s="6">
        <f>0.85*E17+T17*0.15</f>
        <v>16.2</v>
      </c>
      <c r="V17" s="6">
        <f>100.4-0.4*W17</f>
        <v>94</v>
      </c>
      <c r="W17" s="6">
        <f>COUNTIFS($Y:$Y, Y17, $U:$U, "&lt;"&amp;U17) + 1</f>
        <v>16</v>
      </c>
      <c r="X17" s="5">
        <v>29</v>
      </c>
      <c r="Y17" s="6" t="s">
        <v>309</v>
      </c>
      <c r="Z17" s="10"/>
    </row>
    <row r="18" spans="1:26">
      <c r="A18" s="5">
        <v>317</v>
      </c>
      <c r="B18" s="5">
        <v>1120232317</v>
      </c>
      <c r="C18" s="6" t="s">
        <v>325</v>
      </c>
      <c r="D18" s="6" t="str">
        <f>VLOOKUP([1]成绩单!B17,[1]Sheet1!$A:$K,4,0)</f>
        <v>精工2313</v>
      </c>
      <c r="E18" s="5">
        <v>16</v>
      </c>
      <c r="F18" s="7">
        <v>0.55172399999999999</v>
      </c>
      <c r="G18" s="8">
        <v>80.466700000000003</v>
      </c>
      <c r="H18" s="5">
        <v>62</v>
      </c>
      <c r="I18" s="9">
        <v>142.5</v>
      </c>
      <c r="J18" s="5">
        <v>1</v>
      </c>
      <c r="K18" s="5">
        <v>1</v>
      </c>
      <c r="L18" s="6" t="s">
        <v>27</v>
      </c>
      <c r="M18" s="6">
        <v>1.6</v>
      </c>
      <c r="N18" s="6">
        <v>0.7</v>
      </c>
      <c r="O18" s="6">
        <v>1.5</v>
      </c>
      <c r="P18" s="6">
        <v>0.45</v>
      </c>
      <c r="Q18" s="6">
        <v>3.5</v>
      </c>
      <c r="R18" s="6"/>
      <c r="S18" s="6">
        <f>SUM(M18:Q18)</f>
        <v>7.75</v>
      </c>
      <c r="T18" s="6">
        <f>COUNTIFS($Y:$Y, Y18, $S:$S, "&gt;"&amp;S18) + 1</f>
        <v>22</v>
      </c>
      <c r="U18" s="6">
        <f>0.85*E18+T18*0.15</f>
        <v>16.899999999999999</v>
      </c>
      <c r="V18" s="6">
        <f>100.4-0.4*W18</f>
        <v>93.600000000000009</v>
      </c>
      <c r="W18" s="6">
        <f>COUNTIFS($Y:$Y, Y18, $U:$U, "&lt;"&amp;U18) + 1</f>
        <v>17</v>
      </c>
      <c r="X18" s="5">
        <v>29</v>
      </c>
      <c r="Y18" s="6" t="s">
        <v>309</v>
      </c>
      <c r="Z18" s="10"/>
    </row>
    <row r="19" spans="1:26">
      <c r="A19" s="5">
        <v>318</v>
      </c>
      <c r="B19" s="5">
        <v>1120231273</v>
      </c>
      <c r="C19" s="6" t="s">
        <v>326</v>
      </c>
      <c r="D19" s="6" t="str">
        <f>VLOOKUP([1]成绩单!B18,[1]Sheet1!$A:$K,4,0)</f>
        <v>精工2311</v>
      </c>
      <c r="E19" s="5">
        <v>17</v>
      </c>
      <c r="F19" s="7">
        <v>0.58620700000000003</v>
      </c>
      <c r="G19" s="8">
        <v>79.933700000000002</v>
      </c>
      <c r="H19" s="5">
        <v>59</v>
      </c>
      <c r="I19" s="9">
        <v>139.5</v>
      </c>
      <c r="J19" s="5">
        <v>0</v>
      </c>
      <c r="K19" s="5">
        <v>0</v>
      </c>
      <c r="L19" s="6" t="s">
        <v>27</v>
      </c>
      <c r="M19" s="6">
        <v>0</v>
      </c>
      <c r="N19" s="6">
        <v>-0.5</v>
      </c>
      <c r="O19" s="6">
        <v>0</v>
      </c>
      <c r="P19" s="6">
        <v>-1.5</v>
      </c>
      <c r="Q19" s="6">
        <v>0</v>
      </c>
      <c r="R19" s="6"/>
      <c r="S19" s="6">
        <f>SUM(M19:Q19)</f>
        <v>-2</v>
      </c>
      <c r="T19" s="6">
        <f>COUNTIFS($Y:$Y, Y19, $S:$S, "&gt;"&amp;S19) + 1</f>
        <v>29</v>
      </c>
      <c r="U19" s="6">
        <f>0.85*E19+T19*0.15</f>
        <v>18.799999999999997</v>
      </c>
      <c r="V19" s="6">
        <f>100.4-0.4*W19</f>
        <v>93.2</v>
      </c>
      <c r="W19" s="6">
        <f>COUNTIFS($Y:$Y, Y19, $U:$U, "&lt;"&amp;U19) + 1</f>
        <v>18</v>
      </c>
      <c r="X19" s="5">
        <v>29</v>
      </c>
      <c r="Y19" s="6" t="s">
        <v>309</v>
      </c>
      <c r="Z19" s="10"/>
    </row>
    <row r="20" spans="1:26">
      <c r="A20" s="5">
        <v>319</v>
      </c>
      <c r="B20" s="5">
        <v>1120232053</v>
      </c>
      <c r="C20" s="6" t="s">
        <v>327</v>
      </c>
      <c r="D20" s="6" t="str">
        <f>VLOOKUP([1]成绩单!B20,[1]Sheet1!$A:$K,4,0)</f>
        <v>精工2312</v>
      </c>
      <c r="E20" s="5">
        <v>19</v>
      </c>
      <c r="F20" s="7">
        <v>0.65517199999999998</v>
      </c>
      <c r="G20" s="8">
        <v>77.699299999999994</v>
      </c>
      <c r="H20" s="5">
        <v>60</v>
      </c>
      <c r="I20" s="9">
        <v>140.5</v>
      </c>
      <c r="J20" s="5">
        <v>0</v>
      </c>
      <c r="K20" s="5">
        <v>0</v>
      </c>
      <c r="L20" s="6" t="s">
        <v>27</v>
      </c>
      <c r="M20" s="6">
        <v>0.85</v>
      </c>
      <c r="N20" s="6">
        <v>1</v>
      </c>
      <c r="O20" s="6">
        <v>0.8</v>
      </c>
      <c r="P20" s="6">
        <v>1.5</v>
      </c>
      <c r="Q20" s="6">
        <v>5.7</v>
      </c>
      <c r="R20" s="6"/>
      <c r="S20" s="6">
        <f>SUM(M20:Q20)</f>
        <v>9.8500000000000014</v>
      </c>
      <c r="T20" s="6">
        <f>COUNTIFS($Y:$Y, Y20, $S:$S, "&gt;"&amp;S20) + 1</f>
        <v>18</v>
      </c>
      <c r="U20" s="6">
        <f>0.85*E20+T20*0.15</f>
        <v>18.849999999999998</v>
      </c>
      <c r="V20" s="6">
        <f>100.4-0.4*W20</f>
        <v>92.800000000000011</v>
      </c>
      <c r="W20" s="6">
        <f>COUNTIFS($Y:$Y, Y20, $U:$U, "&lt;"&amp;U20) + 1</f>
        <v>19</v>
      </c>
      <c r="X20" s="5">
        <v>29</v>
      </c>
      <c r="Y20" s="6" t="s">
        <v>309</v>
      </c>
      <c r="Z20" s="10"/>
    </row>
    <row r="21" spans="1:26">
      <c r="A21" s="5">
        <v>320</v>
      </c>
      <c r="B21" s="5">
        <v>1120230838</v>
      </c>
      <c r="C21" s="6" t="s">
        <v>328</v>
      </c>
      <c r="D21" s="6" t="str">
        <f>VLOOKUP([1]成绩单!B22,[1]Sheet1!$A:$K,4,0)</f>
        <v>精工2310</v>
      </c>
      <c r="E21" s="5">
        <v>21</v>
      </c>
      <c r="F21" s="7">
        <v>0.72413799999999995</v>
      </c>
      <c r="G21" s="8">
        <v>76.522800000000004</v>
      </c>
      <c r="H21" s="5">
        <v>60</v>
      </c>
      <c r="I21" s="9">
        <v>142.5</v>
      </c>
      <c r="J21" s="5">
        <v>2</v>
      </c>
      <c r="K21" s="5">
        <v>2</v>
      </c>
      <c r="L21" s="6" t="s">
        <v>27</v>
      </c>
      <c r="M21" s="6">
        <v>5.0999999999999996</v>
      </c>
      <c r="N21" s="6">
        <v>3.5</v>
      </c>
      <c r="O21" s="6">
        <v>1</v>
      </c>
      <c r="P21" s="6">
        <v>-1.5</v>
      </c>
      <c r="Q21" s="6">
        <v>3</v>
      </c>
      <c r="R21" s="6"/>
      <c r="S21" s="6">
        <f>SUM(M21:Q21)</f>
        <v>11.1</v>
      </c>
      <c r="T21" s="6">
        <f>COUNTIFS($Y:$Y, Y21, $S:$S, "&gt;"&amp;S21) + 1</f>
        <v>16</v>
      </c>
      <c r="U21" s="6">
        <f>0.85*E21+T21*0.15</f>
        <v>20.249999999999996</v>
      </c>
      <c r="V21" s="6">
        <f>100.4-0.4*W21</f>
        <v>92.4</v>
      </c>
      <c r="W21" s="6">
        <f>COUNTIFS($Y:$Y, Y21, $U:$U, "&lt;"&amp;U21) + 1</f>
        <v>20</v>
      </c>
      <c r="X21" s="5">
        <v>29</v>
      </c>
      <c r="Y21" s="6" t="s">
        <v>309</v>
      </c>
      <c r="Z21" s="10"/>
    </row>
    <row r="22" spans="1:26">
      <c r="A22" s="5">
        <v>321</v>
      </c>
      <c r="B22" s="5">
        <v>1120230984</v>
      </c>
      <c r="C22" s="6" t="s">
        <v>329</v>
      </c>
      <c r="D22" s="6" t="str">
        <f>VLOOKUP([1]成绩单!B21,[1]Sheet1!$A:$K,4,0)</f>
        <v>精工2313</v>
      </c>
      <c r="E22" s="5">
        <v>20</v>
      </c>
      <c r="F22" s="7">
        <v>0.68965500000000002</v>
      </c>
      <c r="G22" s="8">
        <v>77.570700000000002</v>
      </c>
      <c r="H22" s="5">
        <v>63</v>
      </c>
      <c r="I22" s="9">
        <v>148.5</v>
      </c>
      <c r="J22" s="5">
        <v>1</v>
      </c>
      <c r="K22" s="5">
        <v>1</v>
      </c>
      <c r="L22" s="6" t="s">
        <v>27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/>
      <c r="S22" s="6">
        <f>SUM(M22:Q22)</f>
        <v>0</v>
      </c>
      <c r="T22" s="6">
        <f>COUNTIFS($Y:$Y, Y22, $S:$S, "&gt;"&amp;S22) + 1</f>
        <v>27</v>
      </c>
      <c r="U22" s="6">
        <f>0.85*E22+T22*0.15</f>
        <v>21.05</v>
      </c>
      <c r="V22" s="6">
        <f>100.4-0.4*W22</f>
        <v>92</v>
      </c>
      <c r="W22" s="6">
        <f>COUNTIFS($Y:$Y, Y22, $U:$U, "&lt;"&amp;U22) + 1</f>
        <v>21</v>
      </c>
      <c r="X22" s="5">
        <v>29</v>
      </c>
      <c r="Y22" s="6" t="s">
        <v>309</v>
      </c>
      <c r="Z22" s="10"/>
    </row>
    <row r="23" spans="1:26">
      <c r="A23" s="5">
        <v>322</v>
      </c>
      <c r="B23" s="5">
        <v>1120233419</v>
      </c>
      <c r="C23" s="6" t="s">
        <v>330</v>
      </c>
      <c r="D23" s="6" t="str">
        <f>VLOOKUP([1]成绩单!B23,[1]Sheet1!$A:$K,4,0)</f>
        <v>精工2312</v>
      </c>
      <c r="E23" s="5">
        <v>22</v>
      </c>
      <c r="F23" s="7">
        <v>0.75862099999999999</v>
      </c>
      <c r="G23" s="8">
        <v>76.4983</v>
      </c>
      <c r="H23" s="5">
        <v>62</v>
      </c>
      <c r="I23" s="9">
        <v>144.5</v>
      </c>
      <c r="J23" s="5">
        <v>1</v>
      </c>
      <c r="K23" s="5">
        <v>1</v>
      </c>
      <c r="L23" s="6" t="s">
        <v>27</v>
      </c>
      <c r="M23" s="6">
        <v>3.55</v>
      </c>
      <c r="N23" s="6">
        <v>3.1</v>
      </c>
      <c r="O23" s="6">
        <v>0</v>
      </c>
      <c r="P23" s="6">
        <v>-1.5</v>
      </c>
      <c r="Q23" s="6">
        <v>3</v>
      </c>
      <c r="R23" s="6"/>
      <c r="S23" s="6">
        <f>SUM(M23:Q23)</f>
        <v>8.15</v>
      </c>
      <c r="T23" s="6">
        <f>COUNTIFS($Y:$Y, Y23, $S:$S, "&gt;"&amp;S23) + 1</f>
        <v>21</v>
      </c>
      <c r="U23" s="6">
        <f>0.85*E23+T23*0.15</f>
        <v>21.849999999999998</v>
      </c>
      <c r="V23" s="6">
        <f>100.4-0.4*W23</f>
        <v>91.600000000000009</v>
      </c>
      <c r="W23" s="6">
        <f>COUNTIFS($Y:$Y, Y23, $U:$U, "&lt;"&amp;U23) + 1</f>
        <v>22</v>
      </c>
      <c r="X23" s="5">
        <v>29</v>
      </c>
      <c r="Y23" s="6" t="s">
        <v>309</v>
      </c>
      <c r="Z23" s="10"/>
    </row>
    <row r="24" spans="1:26">
      <c r="A24" s="5">
        <v>323</v>
      </c>
      <c r="B24" s="5">
        <v>1120230334</v>
      </c>
      <c r="C24" s="6" t="s">
        <v>331</v>
      </c>
      <c r="D24" s="6" t="str">
        <f>VLOOKUP([1]成绩单!B24,[1]Sheet1!$A:$K,4,0)</f>
        <v>精工2312</v>
      </c>
      <c r="E24" s="5">
        <v>23</v>
      </c>
      <c r="F24" s="7">
        <v>0.793103</v>
      </c>
      <c r="G24" s="8">
        <v>74.471199999999996</v>
      </c>
      <c r="H24" s="5">
        <v>59</v>
      </c>
      <c r="I24" s="5">
        <v>139</v>
      </c>
      <c r="J24" s="5">
        <v>2</v>
      </c>
      <c r="K24" s="5">
        <v>2</v>
      </c>
      <c r="L24" s="6" t="s">
        <v>27</v>
      </c>
      <c r="M24" s="6">
        <v>1.2</v>
      </c>
      <c r="N24" s="6">
        <v>-0.5</v>
      </c>
      <c r="O24" s="6">
        <v>0</v>
      </c>
      <c r="P24" s="6">
        <v>-1</v>
      </c>
      <c r="Q24" s="6">
        <v>2.5</v>
      </c>
      <c r="R24" s="6"/>
      <c r="S24" s="6">
        <f>SUM(M24:Q24)</f>
        <v>2.2000000000000002</v>
      </c>
      <c r="T24" s="6">
        <f>COUNTIFS($Y:$Y, Y24, $S:$S, "&gt;"&amp;S24) + 1</f>
        <v>24</v>
      </c>
      <c r="U24" s="6">
        <f>0.85*E24+T24*0.15</f>
        <v>23.15</v>
      </c>
      <c r="V24" s="6">
        <f>100.4-0.4*W24</f>
        <v>91.2</v>
      </c>
      <c r="W24" s="6">
        <f>COUNTIFS($Y:$Y, Y24, $U:$U, "&lt;"&amp;U24) + 1</f>
        <v>23</v>
      </c>
      <c r="X24" s="5">
        <v>29</v>
      </c>
      <c r="Y24" s="6" t="s">
        <v>309</v>
      </c>
      <c r="Z24" s="10"/>
    </row>
    <row r="25" spans="1:26">
      <c r="A25" s="5">
        <v>324</v>
      </c>
      <c r="B25" s="5">
        <v>1120232511</v>
      </c>
      <c r="C25" s="6" t="s">
        <v>332</v>
      </c>
      <c r="D25" s="6" t="str">
        <f>VLOOKUP([1]成绩单!B27,[1]Sheet1!$A:$K,4,0)</f>
        <v>精工2312</v>
      </c>
      <c r="E25" s="5">
        <v>26</v>
      </c>
      <c r="F25" s="7">
        <v>0.89655200000000002</v>
      </c>
      <c r="G25" s="8">
        <v>69.029499999999999</v>
      </c>
      <c r="H25" s="5">
        <v>62</v>
      </c>
      <c r="I25" s="5">
        <v>144</v>
      </c>
      <c r="J25" s="5">
        <v>4</v>
      </c>
      <c r="K25" s="5">
        <v>4</v>
      </c>
      <c r="L25" s="6" t="s">
        <v>96</v>
      </c>
      <c r="M25" s="6">
        <v>3.0249999999999999</v>
      </c>
      <c r="N25" s="6">
        <v>3.7</v>
      </c>
      <c r="O25" s="6">
        <v>3.2</v>
      </c>
      <c r="P25" s="6">
        <v>1.7</v>
      </c>
      <c r="Q25" s="6">
        <v>4.75</v>
      </c>
      <c r="R25" s="6"/>
      <c r="S25" s="6">
        <f>SUM(M25:Q25)</f>
        <v>16.375</v>
      </c>
      <c r="T25" s="6">
        <f>COUNTIFS($Y:$Y, Y25, $S:$S, "&gt;"&amp;S25) + 1</f>
        <v>13</v>
      </c>
      <c r="U25" s="6">
        <f>0.85*E25+T25*0.15</f>
        <v>24.049999999999997</v>
      </c>
      <c r="V25" s="6">
        <f>100.4-0.4*W25</f>
        <v>90.800000000000011</v>
      </c>
      <c r="W25" s="6">
        <f>COUNTIFS($Y:$Y, Y25, $U:$U, "&lt;"&amp;U25) + 1</f>
        <v>24</v>
      </c>
      <c r="X25" s="5">
        <v>29</v>
      </c>
      <c r="Y25" s="6" t="s">
        <v>309</v>
      </c>
      <c r="Z25" s="10"/>
    </row>
    <row r="26" spans="1:26">
      <c r="A26" s="5">
        <v>325</v>
      </c>
      <c r="B26" s="5">
        <v>1120232221</v>
      </c>
      <c r="C26" s="6" t="s">
        <v>333</v>
      </c>
      <c r="D26" s="6" t="str">
        <f>VLOOKUP([1]成绩单!B25,[1]Sheet1!$A:$K,4,0)</f>
        <v>精工2312</v>
      </c>
      <c r="E26" s="5">
        <v>24</v>
      </c>
      <c r="F26" s="7">
        <v>0.82758600000000004</v>
      </c>
      <c r="G26" s="8">
        <v>73.962599999999995</v>
      </c>
      <c r="H26" s="5">
        <v>60</v>
      </c>
      <c r="I26" s="9">
        <v>140.5</v>
      </c>
      <c r="J26" s="5">
        <v>1</v>
      </c>
      <c r="K26" s="5">
        <v>1</v>
      </c>
      <c r="L26" s="6" t="s">
        <v>27</v>
      </c>
      <c r="M26" s="6">
        <v>1</v>
      </c>
      <c r="N26" s="6">
        <v>1</v>
      </c>
      <c r="O26" s="6">
        <v>0</v>
      </c>
      <c r="P26" s="6">
        <v>-1</v>
      </c>
      <c r="Q26" s="6">
        <v>0</v>
      </c>
      <c r="R26" s="6"/>
      <c r="S26" s="6">
        <f>SUM(M26:Q26)</f>
        <v>1</v>
      </c>
      <c r="T26" s="6">
        <f>COUNTIFS($Y:$Y, Y26, $S:$S, "&gt;"&amp;S26) + 1</f>
        <v>26</v>
      </c>
      <c r="U26" s="6">
        <f>0.85*E26+T26*0.15</f>
        <v>24.299999999999997</v>
      </c>
      <c r="V26" s="6">
        <f>100.4-0.4*W26</f>
        <v>90.4</v>
      </c>
      <c r="W26" s="6">
        <f>COUNTIFS($Y:$Y, Y26, $U:$U, "&lt;"&amp;U26) + 1</f>
        <v>25</v>
      </c>
      <c r="X26" s="5">
        <v>29</v>
      </c>
      <c r="Y26" s="6" t="s">
        <v>309</v>
      </c>
      <c r="Z26" s="10"/>
    </row>
    <row r="27" spans="1:26">
      <c r="A27" s="5">
        <v>326</v>
      </c>
      <c r="B27" s="5">
        <v>1120231779</v>
      </c>
      <c r="C27" s="6" t="s">
        <v>334</v>
      </c>
      <c r="D27" s="6" t="str">
        <f>VLOOKUP([1]成绩单!B26,[1]Sheet1!$A:$K,4,0)</f>
        <v>精工2311</v>
      </c>
      <c r="E27" s="5">
        <v>25</v>
      </c>
      <c r="F27" s="7">
        <v>0.86206899999999997</v>
      </c>
      <c r="G27" s="8">
        <v>73.821799999999996</v>
      </c>
      <c r="H27" s="5">
        <v>57</v>
      </c>
      <c r="I27" s="9">
        <v>137.5</v>
      </c>
      <c r="J27" s="5">
        <v>1</v>
      </c>
      <c r="K27" s="5">
        <v>1</v>
      </c>
      <c r="L27" s="6" t="s">
        <v>27</v>
      </c>
      <c r="M27" s="6">
        <v>1.4</v>
      </c>
      <c r="N27" s="6">
        <v>-1</v>
      </c>
      <c r="O27" s="6">
        <v>0.5</v>
      </c>
      <c r="P27" s="6">
        <v>-0.8</v>
      </c>
      <c r="Q27" s="6">
        <v>3.2</v>
      </c>
      <c r="R27" s="6"/>
      <c r="S27" s="6">
        <f>SUM(M27:Q27)</f>
        <v>3.3</v>
      </c>
      <c r="T27" s="6">
        <f>COUNTIFS($Y:$Y, Y27, $S:$S, "&gt;"&amp;S27) + 1</f>
        <v>23</v>
      </c>
      <c r="U27" s="6">
        <f>0.85*E27+T27*0.15</f>
        <v>24.7</v>
      </c>
      <c r="V27" s="6">
        <f>100.4-0.4*W27</f>
        <v>90</v>
      </c>
      <c r="W27" s="6">
        <f>COUNTIFS($Y:$Y, Y27, $U:$U, "&lt;"&amp;U27) + 1</f>
        <v>26</v>
      </c>
      <c r="X27" s="5">
        <v>29</v>
      </c>
      <c r="Y27" s="6" t="s">
        <v>309</v>
      </c>
      <c r="Z27" s="10"/>
    </row>
    <row r="28" spans="1:26">
      <c r="A28" s="5">
        <v>327</v>
      </c>
      <c r="B28" s="5">
        <v>1120231277</v>
      </c>
      <c r="C28" s="6" t="s">
        <v>335</v>
      </c>
      <c r="D28" s="6" t="str">
        <f>VLOOKUP([1]成绩单!B28,[1]Sheet1!$A:$K,4,0)</f>
        <v>精工2313</v>
      </c>
      <c r="E28" s="5">
        <v>27</v>
      </c>
      <c r="F28" s="7">
        <v>0.93103400000000003</v>
      </c>
      <c r="G28" s="8">
        <v>68.094099999999997</v>
      </c>
      <c r="H28" s="5">
        <v>62</v>
      </c>
      <c r="I28" s="9">
        <v>143.5</v>
      </c>
      <c r="J28" s="5">
        <v>5</v>
      </c>
      <c r="K28" s="5">
        <v>4</v>
      </c>
      <c r="L28" s="6" t="s">
        <v>27</v>
      </c>
      <c r="M28" s="6">
        <v>1.2</v>
      </c>
      <c r="N28" s="6">
        <v>0.2</v>
      </c>
      <c r="O28" s="6">
        <v>0.3</v>
      </c>
      <c r="P28" s="6">
        <v>-0.8</v>
      </c>
      <c r="Q28" s="6">
        <v>0.2</v>
      </c>
      <c r="R28" s="6"/>
      <c r="S28" s="6">
        <f>SUM(M28:Q28)</f>
        <v>1.0999999999999999</v>
      </c>
      <c r="T28" s="6">
        <f>COUNTIFS($Y:$Y, Y28, $S:$S, "&gt;"&amp;S28) + 1</f>
        <v>25</v>
      </c>
      <c r="U28" s="6">
        <f>0.85*E28+T28*0.15</f>
        <v>26.7</v>
      </c>
      <c r="V28" s="6">
        <f>100.4-0.4*W28</f>
        <v>89.600000000000009</v>
      </c>
      <c r="W28" s="6">
        <f>COUNTIFS($Y:$Y, Y28, $U:$U, "&lt;"&amp;U28) + 1</f>
        <v>27</v>
      </c>
      <c r="X28" s="5">
        <v>29</v>
      </c>
      <c r="Y28" s="6" t="s">
        <v>309</v>
      </c>
      <c r="Z28" s="10"/>
    </row>
    <row r="29" spans="1:26">
      <c r="A29" s="5">
        <v>328</v>
      </c>
      <c r="B29" s="5">
        <v>1120231442</v>
      </c>
      <c r="C29" s="6" t="s">
        <v>336</v>
      </c>
      <c r="D29" s="6" t="str">
        <f>VLOOKUP([1]成绩单!B30,[1]Sheet1!$A:$K,4,0)</f>
        <v>精工2310</v>
      </c>
      <c r="E29" s="5">
        <v>29</v>
      </c>
      <c r="F29" s="7">
        <v>1</v>
      </c>
      <c r="G29" s="8">
        <v>56.082500000000003</v>
      </c>
      <c r="H29" s="5">
        <v>62</v>
      </c>
      <c r="I29" s="9">
        <v>145.5</v>
      </c>
      <c r="J29" s="5">
        <v>13</v>
      </c>
      <c r="K29" s="5">
        <v>6</v>
      </c>
      <c r="L29" s="6" t="s">
        <v>27</v>
      </c>
      <c r="M29" s="6">
        <v>7</v>
      </c>
      <c r="N29" s="6">
        <v>7</v>
      </c>
      <c r="O29" s="6">
        <v>0</v>
      </c>
      <c r="P29" s="6">
        <v>0</v>
      </c>
      <c r="Q29" s="6">
        <v>0</v>
      </c>
      <c r="R29" s="6"/>
      <c r="S29" s="6">
        <f>SUM(M29:Q29)</f>
        <v>14</v>
      </c>
      <c r="T29" s="6">
        <f>COUNTIFS($Y:$Y, Y29, $S:$S, "&gt;"&amp;S29) + 1</f>
        <v>15</v>
      </c>
      <c r="U29" s="6">
        <f>0.85*E29+T29*0.15</f>
        <v>26.9</v>
      </c>
      <c r="V29" s="6">
        <f>100.4-0.4*W29</f>
        <v>89.2</v>
      </c>
      <c r="W29" s="6">
        <f>COUNTIFS($Y:$Y, Y29, $U:$U, "&lt;"&amp;U29) + 1</f>
        <v>28</v>
      </c>
      <c r="X29" s="5">
        <v>29</v>
      </c>
      <c r="Y29" s="6" t="s">
        <v>309</v>
      </c>
      <c r="Z29" s="10"/>
    </row>
    <row r="30" spans="1:26">
      <c r="A30" s="5">
        <v>329</v>
      </c>
      <c r="B30" s="5">
        <v>1120231011</v>
      </c>
      <c r="C30" s="6" t="s">
        <v>337</v>
      </c>
      <c r="D30" s="6" t="str">
        <f>VLOOKUP([1]成绩单!B29,[1]Sheet1!$A:$K,4,0)</f>
        <v>精工2312</v>
      </c>
      <c r="E30" s="5">
        <v>28</v>
      </c>
      <c r="F30" s="7">
        <v>0.96551699999999996</v>
      </c>
      <c r="G30" s="8">
        <v>57.926000000000002</v>
      </c>
      <c r="H30" s="5">
        <v>60</v>
      </c>
      <c r="I30" s="9">
        <v>138.5</v>
      </c>
      <c r="J30" s="5">
        <v>13</v>
      </c>
      <c r="K30" s="5">
        <v>7</v>
      </c>
      <c r="L30" s="6" t="s">
        <v>27</v>
      </c>
      <c r="M30" s="6">
        <v>1.2</v>
      </c>
      <c r="N30" s="6">
        <v>-0.5</v>
      </c>
      <c r="O30" s="6">
        <v>0</v>
      </c>
      <c r="P30" s="6">
        <v>-1.5</v>
      </c>
      <c r="Q30" s="6">
        <v>0</v>
      </c>
      <c r="R30" s="6"/>
      <c r="S30" s="6">
        <f>SUM(M30:Q30)</f>
        <v>-0.8</v>
      </c>
      <c r="T30" s="6">
        <f>COUNTIFS($Y:$Y, Y30, $S:$S, "&gt;"&amp;S30) + 1</f>
        <v>28</v>
      </c>
      <c r="U30" s="6">
        <f>0.85*E30+T30*0.15</f>
        <v>28</v>
      </c>
      <c r="V30" s="6">
        <f>100.4-0.4*W30</f>
        <v>88.800000000000011</v>
      </c>
      <c r="W30" s="6">
        <f>COUNTIFS($Y:$Y, Y30, $U:$U, "&lt;"&amp;U30) + 1</f>
        <v>29</v>
      </c>
      <c r="X30" s="5">
        <v>29</v>
      </c>
      <c r="Y30" s="6" t="s">
        <v>309</v>
      </c>
      <c r="Z30" s="10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34F0-CF98-447D-94FC-382C1DEF9D71}">
  <dimension ref="A1:Z63"/>
  <sheetViews>
    <sheetView workbookViewId="0">
      <selection activeCell="A2" sqref="A2:A63"/>
    </sheetView>
  </sheetViews>
  <sheetFormatPr defaultRowHeight="13.9"/>
  <sheetData>
    <row r="1" spans="1:26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</row>
    <row r="2" spans="1:26">
      <c r="A2" s="5">
        <v>330</v>
      </c>
      <c r="B2" s="5">
        <v>1120231527</v>
      </c>
      <c r="C2" s="6" t="s">
        <v>338</v>
      </c>
      <c r="D2" s="6" t="str">
        <f>VLOOKUP([1]成绩单!B31,[1]Sheet1!$A:$K,4,0)</f>
        <v>精工2313</v>
      </c>
      <c r="E2" s="5">
        <v>1</v>
      </c>
      <c r="F2" s="7">
        <v>1.6129000000000001E-2</v>
      </c>
      <c r="G2" s="8">
        <v>92.964200000000005</v>
      </c>
      <c r="H2" s="5">
        <v>64</v>
      </c>
      <c r="I2" s="9">
        <v>139.5</v>
      </c>
      <c r="J2" s="5">
        <v>0</v>
      </c>
      <c r="K2" s="5">
        <v>0</v>
      </c>
      <c r="L2" s="6" t="s">
        <v>27</v>
      </c>
      <c r="M2" s="6">
        <v>3.5</v>
      </c>
      <c r="N2" s="6">
        <v>5.6</v>
      </c>
      <c r="O2" s="6">
        <v>8.1999999999999993</v>
      </c>
      <c r="P2" s="6">
        <v>4.7</v>
      </c>
      <c r="Q2" s="6">
        <v>7.8</v>
      </c>
      <c r="R2" s="6"/>
      <c r="S2" s="6">
        <f>SUM(M2:Q2)</f>
        <v>29.799999999999997</v>
      </c>
      <c r="T2" s="6">
        <f>COUNTIFS($Y$2:$Y$63, Y2, $S$2:$S$63, "&gt;"&amp;S2) + 1</f>
        <v>11</v>
      </c>
      <c r="U2" s="6">
        <f>0.85*E2+T2*0.15</f>
        <v>2.5</v>
      </c>
      <c r="V2" s="6">
        <f>100.4-0.4*W2</f>
        <v>100</v>
      </c>
      <c r="W2" s="6">
        <f>COUNTIFS($Y$2:$Y$63, Y2, $U$2:$U$63, "&lt;"&amp;U2) + 1</f>
        <v>1</v>
      </c>
      <c r="X2" s="5">
        <v>62</v>
      </c>
      <c r="Y2" s="6" t="s">
        <v>339</v>
      </c>
      <c r="Z2" s="10"/>
    </row>
    <row r="3" spans="1:26">
      <c r="A3" s="5">
        <v>331</v>
      </c>
      <c r="B3" s="5">
        <v>1120232302</v>
      </c>
      <c r="C3" s="6" t="s">
        <v>340</v>
      </c>
      <c r="D3" s="6" t="str">
        <f>VLOOKUP([1]成绩单!B33,[1]Sheet1!$A:$K,4,0)</f>
        <v>精工2312</v>
      </c>
      <c r="E3" s="5">
        <v>3</v>
      </c>
      <c r="F3" s="7">
        <v>4.8386999999999999E-2</v>
      </c>
      <c r="G3" s="8">
        <v>89.889099999999999</v>
      </c>
      <c r="H3" s="5">
        <v>63</v>
      </c>
      <c r="I3" s="9">
        <v>137.5</v>
      </c>
      <c r="J3" s="5">
        <v>0</v>
      </c>
      <c r="K3" s="5">
        <v>0</v>
      </c>
      <c r="L3" s="6" t="s">
        <v>27</v>
      </c>
      <c r="M3" s="6">
        <v>2.7</v>
      </c>
      <c r="N3" s="6">
        <v>7.1</v>
      </c>
      <c r="O3" s="6">
        <v>8.6999999999999993</v>
      </c>
      <c r="P3" s="6">
        <v>8.6999999999999993</v>
      </c>
      <c r="Q3" s="6">
        <v>11</v>
      </c>
      <c r="R3" s="6"/>
      <c r="S3" s="6">
        <f>SUM(M3:Q3)</f>
        <v>38.200000000000003</v>
      </c>
      <c r="T3" s="6">
        <f>COUNTIFS($Y$2:$Y$63, Y3, $S$2:$S$63, "&gt;"&amp;S3) + 1</f>
        <v>7</v>
      </c>
      <c r="U3" s="6">
        <f>0.85*E3+T3*0.15</f>
        <v>3.5999999999999996</v>
      </c>
      <c r="V3" s="6">
        <f>100.4-0.4*W3</f>
        <v>99.600000000000009</v>
      </c>
      <c r="W3" s="6">
        <f>COUNTIFS($Y$2:$Y$63, Y3, $U$2:$U$63, "&lt;"&amp;U3) + 1</f>
        <v>2</v>
      </c>
      <c r="X3" s="5">
        <v>62</v>
      </c>
      <c r="Y3" s="6" t="s">
        <v>339</v>
      </c>
      <c r="Z3" s="10"/>
    </row>
    <row r="4" spans="1:26">
      <c r="A4" s="5">
        <v>332</v>
      </c>
      <c r="B4" s="5">
        <v>1120232227</v>
      </c>
      <c r="C4" s="6" t="s">
        <v>341</v>
      </c>
      <c r="D4" s="6" t="str">
        <f>VLOOKUP([1]成绩单!B35,[1]Sheet1!$A:$K,4,0)</f>
        <v>精工2310</v>
      </c>
      <c r="E4" s="5">
        <v>5</v>
      </c>
      <c r="F4" s="7">
        <v>8.0644999999999994E-2</v>
      </c>
      <c r="G4" s="8">
        <v>89.532300000000006</v>
      </c>
      <c r="H4" s="5">
        <v>64</v>
      </c>
      <c r="I4" s="9">
        <v>139.5</v>
      </c>
      <c r="J4" s="5">
        <v>0</v>
      </c>
      <c r="K4" s="5">
        <v>0</v>
      </c>
      <c r="L4" s="6" t="s">
        <v>27</v>
      </c>
      <c r="M4" s="6">
        <v>3.1</v>
      </c>
      <c r="N4" s="6">
        <v>15.4</v>
      </c>
      <c r="O4" s="6">
        <v>10.7</v>
      </c>
      <c r="P4" s="6">
        <v>10.4</v>
      </c>
      <c r="Q4" s="6">
        <v>11.3</v>
      </c>
      <c r="R4" s="6"/>
      <c r="S4" s="6">
        <f>SUM(M4:Q4)</f>
        <v>50.900000000000006</v>
      </c>
      <c r="T4" s="6">
        <f>COUNTIFS($Y$2:$Y$63, Y4, $S$2:$S$63, "&gt;"&amp;S4) + 1</f>
        <v>2</v>
      </c>
      <c r="U4" s="6">
        <f>0.85*E4+T4*0.15</f>
        <v>4.55</v>
      </c>
      <c r="V4" s="6">
        <f>100.4-0.4*W4</f>
        <v>99.2</v>
      </c>
      <c r="W4" s="6">
        <f>COUNTIFS($Y$2:$Y$63, Y4, $U$2:$U$63, "&lt;"&amp;U4) + 1</f>
        <v>3</v>
      </c>
      <c r="X4" s="5">
        <v>62</v>
      </c>
      <c r="Y4" s="6" t="s">
        <v>339</v>
      </c>
      <c r="Z4" s="10"/>
    </row>
    <row r="5" spans="1:26">
      <c r="A5" s="5">
        <v>333</v>
      </c>
      <c r="B5" s="5">
        <v>1120231790</v>
      </c>
      <c r="C5" s="6" t="s">
        <v>342</v>
      </c>
      <c r="D5" s="6" t="str">
        <f>VLOOKUP([1]成绩单!B32,[1]Sheet1!$A:$K,4,0)</f>
        <v>精工2310</v>
      </c>
      <c r="E5" s="5">
        <v>2</v>
      </c>
      <c r="F5" s="7">
        <v>3.2258000000000002E-2</v>
      </c>
      <c r="G5" s="8">
        <v>90.069100000000006</v>
      </c>
      <c r="H5" s="5">
        <v>63</v>
      </c>
      <c r="I5" s="9">
        <v>137.5</v>
      </c>
      <c r="J5" s="5">
        <v>0</v>
      </c>
      <c r="K5" s="5">
        <v>0</v>
      </c>
      <c r="L5" s="6" t="s">
        <v>27</v>
      </c>
      <c r="M5" s="6">
        <v>2.2000000000000002</v>
      </c>
      <c r="N5" s="6">
        <v>1</v>
      </c>
      <c r="O5" s="6">
        <v>3.6</v>
      </c>
      <c r="P5" s="6">
        <v>6.2</v>
      </c>
      <c r="Q5" s="6">
        <v>2.5</v>
      </c>
      <c r="R5" s="6"/>
      <c r="S5" s="6">
        <f>SUM(M5:Q5)</f>
        <v>15.5</v>
      </c>
      <c r="T5" s="6">
        <f>COUNTIFS($Y$2:$Y$63, Y5, $S$2:$S$63, "&gt;"&amp;S5) + 1</f>
        <v>22</v>
      </c>
      <c r="U5" s="6">
        <f>0.85*E5+T5*0.15</f>
        <v>5</v>
      </c>
      <c r="V5" s="6">
        <f>100.4-0.4*W5</f>
        <v>98.800000000000011</v>
      </c>
      <c r="W5" s="6">
        <f>COUNTIFS($Y$2:$Y$63, Y5, $U$2:$U$63, "&lt;"&amp;U5) + 1</f>
        <v>4</v>
      </c>
      <c r="X5" s="5">
        <v>62</v>
      </c>
      <c r="Y5" s="6" t="s">
        <v>339</v>
      </c>
      <c r="Z5" s="10"/>
    </row>
    <row r="6" spans="1:26">
      <c r="A6" s="5">
        <v>334</v>
      </c>
      <c r="B6" s="5">
        <v>1120232905</v>
      </c>
      <c r="C6" s="6" t="s">
        <v>343</v>
      </c>
      <c r="D6" s="6" t="str">
        <f>VLOOKUP([1]成绩单!B34,[1]Sheet1!$A:$K,4,0)</f>
        <v>精工2310</v>
      </c>
      <c r="E6" s="5">
        <v>4</v>
      </c>
      <c r="F6" s="7">
        <v>6.4516000000000004E-2</v>
      </c>
      <c r="G6" s="8">
        <v>89.646600000000007</v>
      </c>
      <c r="H6" s="5">
        <v>66</v>
      </c>
      <c r="I6" s="9">
        <v>141.5</v>
      </c>
      <c r="J6" s="5">
        <v>0</v>
      </c>
      <c r="K6" s="5">
        <v>0</v>
      </c>
      <c r="L6" s="6" t="s">
        <v>27</v>
      </c>
      <c r="M6" s="6">
        <v>0</v>
      </c>
      <c r="N6" s="6">
        <v>3.8</v>
      </c>
      <c r="O6" s="6">
        <v>4.95</v>
      </c>
      <c r="P6" s="6">
        <v>8.6999999999999993</v>
      </c>
      <c r="Q6" s="6">
        <v>8.6999999999999993</v>
      </c>
      <c r="R6" s="6"/>
      <c r="S6" s="6">
        <f>SUM(M6:Q6)</f>
        <v>26.15</v>
      </c>
      <c r="T6" s="6">
        <f>COUNTIFS($Y$2:$Y$63, Y6, $S$2:$S$63, "&gt;"&amp;S6) + 1</f>
        <v>14</v>
      </c>
      <c r="U6" s="6">
        <f>0.85*E6+T6*0.15</f>
        <v>5.5</v>
      </c>
      <c r="V6" s="6">
        <f>100.4-0.4*W6</f>
        <v>98.4</v>
      </c>
      <c r="W6" s="6">
        <f>COUNTIFS($Y$2:$Y$63, Y6, $U$2:$U$63, "&lt;"&amp;U6) + 1</f>
        <v>5</v>
      </c>
      <c r="X6" s="5">
        <v>62</v>
      </c>
      <c r="Y6" s="6" t="s">
        <v>339</v>
      </c>
      <c r="Z6" s="10"/>
    </row>
    <row r="7" spans="1:26">
      <c r="A7" s="5">
        <v>335</v>
      </c>
      <c r="B7" s="5">
        <v>1120231280</v>
      </c>
      <c r="C7" s="6" t="s">
        <v>344</v>
      </c>
      <c r="D7" s="6" t="str">
        <f>VLOOKUP([1]成绩单!B36,[1]Sheet1!$A:$K,4,0)</f>
        <v>精工2311</v>
      </c>
      <c r="E7" s="5">
        <v>6</v>
      </c>
      <c r="F7" s="7">
        <v>9.6773999999999999E-2</v>
      </c>
      <c r="G7" s="8">
        <v>89.076499999999996</v>
      </c>
      <c r="H7" s="5">
        <v>65</v>
      </c>
      <c r="I7" s="9">
        <v>140.5</v>
      </c>
      <c r="J7" s="5">
        <v>0</v>
      </c>
      <c r="K7" s="5">
        <v>0</v>
      </c>
      <c r="L7" s="6" t="s">
        <v>27</v>
      </c>
      <c r="M7" s="6">
        <v>2.8</v>
      </c>
      <c r="N7" s="6">
        <v>6.4</v>
      </c>
      <c r="O7" s="6">
        <v>7.3</v>
      </c>
      <c r="P7" s="6">
        <v>5.8</v>
      </c>
      <c r="Q7" s="6">
        <v>7.7</v>
      </c>
      <c r="R7" s="6"/>
      <c r="S7" s="6">
        <f>SUM(M7:Q7)</f>
        <v>30</v>
      </c>
      <c r="T7" s="6">
        <f>COUNTIFS($Y$2:$Y$63, Y7, $S$2:$S$63, "&gt;"&amp;S7) + 1</f>
        <v>10</v>
      </c>
      <c r="U7" s="6">
        <f>0.85*E7+T7*0.15</f>
        <v>6.6</v>
      </c>
      <c r="V7" s="6">
        <f>100.4-0.4*W7</f>
        <v>98</v>
      </c>
      <c r="W7" s="6">
        <f>COUNTIFS($Y$2:$Y$63, Y7, $U$2:$U$63, "&lt;"&amp;U7) + 1</f>
        <v>6</v>
      </c>
      <c r="X7" s="5">
        <v>62</v>
      </c>
      <c r="Y7" s="6" t="s">
        <v>339</v>
      </c>
      <c r="Z7" s="10"/>
    </row>
    <row r="8" spans="1:26">
      <c r="A8" s="5">
        <v>336</v>
      </c>
      <c r="B8" s="5">
        <v>1120232889</v>
      </c>
      <c r="C8" s="6" t="s">
        <v>345</v>
      </c>
      <c r="D8" s="6" t="str">
        <f>VLOOKUP([1]成绩单!B37,[1]Sheet1!$A:$K,4,0)</f>
        <v>精工2313</v>
      </c>
      <c r="E8" s="5">
        <v>7</v>
      </c>
      <c r="F8" s="7">
        <v>0.112903</v>
      </c>
      <c r="G8" s="8">
        <v>88.837500000000006</v>
      </c>
      <c r="H8" s="5">
        <v>65</v>
      </c>
      <c r="I8" s="9">
        <v>141.5</v>
      </c>
      <c r="J8" s="5">
        <v>0</v>
      </c>
      <c r="K8" s="5">
        <v>0</v>
      </c>
      <c r="L8" s="6" t="s">
        <v>27</v>
      </c>
      <c r="M8" s="6">
        <v>1.8</v>
      </c>
      <c r="N8" s="6">
        <v>1.5</v>
      </c>
      <c r="O8" s="6">
        <v>1</v>
      </c>
      <c r="P8" s="6">
        <v>8.1999999999999993</v>
      </c>
      <c r="Q8" s="6">
        <v>6.2</v>
      </c>
      <c r="R8" s="6"/>
      <c r="S8" s="6">
        <f>SUM(M8:Q8)</f>
        <v>18.7</v>
      </c>
      <c r="T8" s="6">
        <f>COUNTIFS($Y$2:$Y$63, Y8, $S$2:$S$63, "&gt;"&amp;S8) + 1</f>
        <v>20</v>
      </c>
      <c r="U8" s="6">
        <f>0.85*E8+T8*0.15</f>
        <v>8.9499999999999993</v>
      </c>
      <c r="V8" s="6">
        <f>100.4-0.4*W8</f>
        <v>97.600000000000009</v>
      </c>
      <c r="W8" s="6">
        <f>COUNTIFS($Y$2:$Y$63, Y8, $U$2:$U$63, "&lt;"&amp;U8) + 1</f>
        <v>7</v>
      </c>
      <c r="X8" s="5">
        <v>62</v>
      </c>
      <c r="Y8" s="6" t="s">
        <v>339</v>
      </c>
      <c r="Z8" s="10"/>
    </row>
    <row r="9" spans="1:26">
      <c r="A9" s="5">
        <v>337</v>
      </c>
      <c r="B9" s="5">
        <v>1120231423</v>
      </c>
      <c r="C9" s="6" t="s">
        <v>346</v>
      </c>
      <c r="D9" s="6" t="str">
        <f>VLOOKUP([1]成绩单!B40,[1]Sheet1!$A:$K,4,0)</f>
        <v>精工2312</v>
      </c>
      <c r="E9" s="5">
        <v>10</v>
      </c>
      <c r="F9" s="7">
        <v>0.16128999999999999</v>
      </c>
      <c r="G9" s="8">
        <v>88.302099999999996</v>
      </c>
      <c r="H9" s="5">
        <v>67</v>
      </c>
      <c r="I9" s="5">
        <v>144</v>
      </c>
      <c r="J9" s="5">
        <v>0</v>
      </c>
      <c r="K9" s="5">
        <v>0</v>
      </c>
      <c r="L9" s="6" t="s">
        <v>27</v>
      </c>
      <c r="M9" s="6">
        <v>3</v>
      </c>
      <c r="N9" s="6">
        <v>5.94</v>
      </c>
      <c r="O9" s="6">
        <v>9.6999999999999993</v>
      </c>
      <c r="P9" s="6">
        <v>14.54</v>
      </c>
      <c r="Q9" s="6">
        <v>12.7</v>
      </c>
      <c r="R9" s="6"/>
      <c r="S9" s="6">
        <f>SUM(M9:Q9)</f>
        <v>45.879999999999995</v>
      </c>
      <c r="T9" s="6">
        <f>COUNTIFS($Y$2:$Y$63, Y9, $S$2:$S$63, "&gt;"&amp;S9) + 1</f>
        <v>4</v>
      </c>
      <c r="U9" s="6">
        <f>0.85*E9+T9*0.15</f>
        <v>9.1</v>
      </c>
      <c r="V9" s="6">
        <f>100.4-0.4*W9</f>
        <v>97.2</v>
      </c>
      <c r="W9" s="6">
        <f>COUNTIFS($Y$2:$Y$63, Y9, $U$2:$U$63, "&lt;"&amp;U9) + 1</f>
        <v>8</v>
      </c>
      <c r="X9" s="5">
        <v>62</v>
      </c>
      <c r="Y9" s="6" t="s">
        <v>339</v>
      </c>
      <c r="Z9" s="10"/>
    </row>
    <row r="10" spans="1:26">
      <c r="A10" s="5">
        <v>338</v>
      </c>
      <c r="B10" s="5">
        <v>1120230741</v>
      </c>
      <c r="C10" s="6" t="s">
        <v>347</v>
      </c>
      <c r="D10" s="6" t="str">
        <f>VLOOKUP([1]成绩单!B41,[1]Sheet1!$A:$K,4,0)</f>
        <v>精工2313</v>
      </c>
      <c r="E10" s="5">
        <v>11</v>
      </c>
      <c r="F10" s="7">
        <v>0.17741899999999999</v>
      </c>
      <c r="G10" s="8">
        <v>87.686199999999999</v>
      </c>
      <c r="H10" s="5">
        <v>67</v>
      </c>
      <c r="I10" s="5">
        <v>145</v>
      </c>
      <c r="J10" s="5">
        <v>0</v>
      </c>
      <c r="K10" s="5">
        <v>0</v>
      </c>
      <c r="L10" s="6" t="s">
        <v>96</v>
      </c>
      <c r="M10" s="6">
        <v>4.7</v>
      </c>
      <c r="N10" s="6">
        <v>3</v>
      </c>
      <c r="O10" s="6">
        <v>13.8</v>
      </c>
      <c r="P10" s="6">
        <v>15.5</v>
      </c>
      <c r="Q10" s="6">
        <v>20.6</v>
      </c>
      <c r="R10" s="6"/>
      <c r="S10" s="6">
        <f>SUM(M10:Q10)</f>
        <v>57.6</v>
      </c>
      <c r="T10" s="6">
        <f>COUNTIFS($Y$2:$Y$63, Y10, $S$2:$S$63, "&gt;"&amp;S10) + 1</f>
        <v>1</v>
      </c>
      <c r="U10" s="6">
        <f>0.85*E10+T10*0.15</f>
        <v>9.5</v>
      </c>
      <c r="V10" s="6">
        <f>100.4-0.4*W10</f>
        <v>96.800000000000011</v>
      </c>
      <c r="W10" s="6">
        <f>COUNTIFS($Y$2:$Y$63, Y10, $U$2:$U$63, "&lt;"&amp;U10) + 1</f>
        <v>9</v>
      </c>
      <c r="X10" s="5">
        <v>62</v>
      </c>
      <c r="Y10" s="6" t="s">
        <v>339</v>
      </c>
      <c r="Z10" s="10"/>
    </row>
    <row r="11" spans="1:26">
      <c r="A11" s="5">
        <v>339</v>
      </c>
      <c r="B11" s="5">
        <v>1120232471</v>
      </c>
      <c r="C11" s="6" t="s">
        <v>348</v>
      </c>
      <c r="D11" s="6" t="str">
        <f>VLOOKUP([1]成绩单!B39,[1]Sheet1!$A:$K,4,0)</f>
        <v>精工2310</v>
      </c>
      <c r="E11" s="5">
        <v>9</v>
      </c>
      <c r="F11" s="7">
        <v>0.14516100000000001</v>
      </c>
      <c r="G11" s="8">
        <v>88.628100000000003</v>
      </c>
      <c r="H11" s="5">
        <v>66</v>
      </c>
      <c r="I11" s="9">
        <v>140.5</v>
      </c>
      <c r="J11" s="5">
        <v>0</v>
      </c>
      <c r="K11" s="5">
        <v>0</v>
      </c>
      <c r="L11" s="6" t="s">
        <v>27</v>
      </c>
      <c r="M11" s="6">
        <v>2.7</v>
      </c>
      <c r="N11" s="6">
        <v>2.5</v>
      </c>
      <c r="O11" s="6">
        <v>2.1</v>
      </c>
      <c r="P11" s="6">
        <v>6</v>
      </c>
      <c r="Q11" s="6">
        <v>6.8</v>
      </c>
      <c r="R11" s="6"/>
      <c r="S11" s="6">
        <f>SUM(M11:Q11)</f>
        <v>20.100000000000001</v>
      </c>
      <c r="T11" s="6">
        <f>COUNTIFS($Y$2:$Y$63, Y11, $S$2:$S$63, "&gt;"&amp;S11) + 1</f>
        <v>19</v>
      </c>
      <c r="U11" s="6">
        <f>0.85*E11+T11*0.15</f>
        <v>10.5</v>
      </c>
      <c r="V11" s="6">
        <f>100.4-0.4*W11</f>
        <v>96.4</v>
      </c>
      <c r="W11" s="6">
        <f>COUNTIFS($Y$2:$Y$63, Y11, $U$2:$U$63, "&lt;"&amp;U11) + 1</f>
        <v>10</v>
      </c>
      <c r="X11" s="5">
        <v>62</v>
      </c>
      <c r="Y11" s="6" t="s">
        <v>339</v>
      </c>
      <c r="Z11" s="10"/>
    </row>
    <row r="12" spans="1:26">
      <c r="A12" s="5">
        <v>340</v>
      </c>
      <c r="B12" s="5">
        <v>1120232287</v>
      </c>
      <c r="C12" s="6" t="s">
        <v>349</v>
      </c>
      <c r="D12" s="6" t="str">
        <f>VLOOKUP([1]成绩单!B38,[1]Sheet1!$A:$K,4,0)</f>
        <v>精工2311</v>
      </c>
      <c r="E12" s="5">
        <v>8</v>
      </c>
      <c r="F12" s="7">
        <v>0.12903200000000001</v>
      </c>
      <c r="G12" s="8">
        <v>88.648399999999995</v>
      </c>
      <c r="H12" s="5">
        <v>62</v>
      </c>
      <c r="I12" s="9">
        <v>136.5</v>
      </c>
      <c r="J12" s="5">
        <v>0</v>
      </c>
      <c r="K12" s="5">
        <v>0</v>
      </c>
      <c r="L12" s="6" t="s">
        <v>27</v>
      </c>
      <c r="M12" s="6">
        <v>3.3</v>
      </c>
      <c r="N12" s="6">
        <v>2</v>
      </c>
      <c r="O12" s="6">
        <v>1.3</v>
      </c>
      <c r="P12" s="6">
        <v>2.5</v>
      </c>
      <c r="Q12" s="6">
        <v>1.9</v>
      </c>
      <c r="R12" s="6"/>
      <c r="S12" s="6">
        <f>SUM(M12:Q12)</f>
        <v>11</v>
      </c>
      <c r="T12" s="6">
        <f>COUNTIFS($Y$2:$Y$63, Y12, $S$2:$S$63, "&gt;"&amp;S12) + 1</f>
        <v>30</v>
      </c>
      <c r="U12" s="6">
        <f>0.85*E12+T12*0.15</f>
        <v>11.3</v>
      </c>
      <c r="V12" s="6">
        <f>100.4-0.4*W12</f>
        <v>96</v>
      </c>
      <c r="W12" s="6">
        <f>COUNTIFS($Y$2:$Y$63, Y12, $U$2:$U$63, "&lt;"&amp;U12) + 1</f>
        <v>11</v>
      </c>
      <c r="X12" s="5">
        <v>62</v>
      </c>
      <c r="Y12" s="6" t="s">
        <v>339</v>
      </c>
      <c r="Z12" s="10"/>
    </row>
    <row r="13" spans="1:26">
      <c r="A13" s="5">
        <v>341</v>
      </c>
      <c r="B13" s="5">
        <v>1120232226</v>
      </c>
      <c r="C13" s="6" t="s">
        <v>350</v>
      </c>
      <c r="D13" s="6" t="str">
        <f>VLOOKUP([1]成绩单!B43,[1]Sheet1!$A:$K,4,0)</f>
        <v>精工2311</v>
      </c>
      <c r="E13" s="5">
        <v>13</v>
      </c>
      <c r="F13" s="7">
        <v>0.209677</v>
      </c>
      <c r="G13" s="8">
        <v>87.015799999999999</v>
      </c>
      <c r="H13" s="5">
        <v>66</v>
      </c>
      <c r="I13" s="9">
        <v>142.5</v>
      </c>
      <c r="J13" s="5">
        <v>0</v>
      </c>
      <c r="K13" s="5">
        <v>0</v>
      </c>
      <c r="L13" s="6" t="s">
        <v>27</v>
      </c>
      <c r="M13" s="6">
        <v>2.15</v>
      </c>
      <c r="N13" s="6">
        <v>7.2</v>
      </c>
      <c r="O13" s="6">
        <v>21.6</v>
      </c>
      <c r="P13" s="6">
        <v>12.3</v>
      </c>
      <c r="Q13" s="6">
        <v>0</v>
      </c>
      <c r="R13" s="6"/>
      <c r="S13" s="6">
        <f>SUM(M13:Q13)</f>
        <v>43.25</v>
      </c>
      <c r="T13" s="6">
        <f>COUNTIFS($Y$2:$Y$63, Y13, $S$2:$S$63, "&gt;"&amp;S13) + 1</f>
        <v>5</v>
      </c>
      <c r="U13" s="6">
        <f>0.85*E13+T13*0.15</f>
        <v>11.799999999999999</v>
      </c>
      <c r="V13" s="6">
        <f>100.4-0.4*W13</f>
        <v>95.600000000000009</v>
      </c>
      <c r="W13" s="6">
        <f>COUNTIFS($Y$2:$Y$63, Y13, $U$2:$U$63, "&lt;"&amp;U13) + 1</f>
        <v>12</v>
      </c>
      <c r="X13" s="5">
        <v>62</v>
      </c>
      <c r="Y13" s="6" t="s">
        <v>339</v>
      </c>
      <c r="Z13" s="10"/>
    </row>
    <row r="14" spans="1:26">
      <c r="A14" s="5">
        <v>342</v>
      </c>
      <c r="B14" s="5">
        <v>1120232297</v>
      </c>
      <c r="C14" s="6" t="s">
        <v>351</v>
      </c>
      <c r="D14" s="6" t="str">
        <f>VLOOKUP([1]成绩单!B44,[1]Sheet1!$A:$K,4,0)</f>
        <v>精工2311</v>
      </c>
      <c r="E14" s="5">
        <v>14</v>
      </c>
      <c r="F14" s="7">
        <v>0.22580600000000001</v>
      </c>
      <c r="G14" s="8">
        <v>86.616500000000002</v>
      </c>
      <c r="H14" s="5">
        <v>72</v>
      </c>
      <c r="I14" s="9">
        <v>154.5</v>
      </c>
      <c r="J14" s="5">
        <v>0</v>
      </c>
      <c r="K14" s="5">
        <v>0</v>
      </c>
      <c r="L14" s="6" t="s">
        <v>27</v>
      </c>
      <c r="M14" s="6">
        <v>3</v>
      </c>
      <c r="N14" s="6">
        <v>7.14</v>
      </c>
      <c r="O14" s="6">
        <v>12.1</v>
      </c>
      <c r="P14" s="6">
        <v>7.2</v>
      </c>
      <c r="Q14" s="6">
        <v>18.899999999999999</v>
      </c>
      <c r="R14" s="6"/>
      <c r="S14" s="6">
        <f>SUM(M14:Q14)</f>
        <v>48.34</v>
      </c>
      <c r="T14" s="6">
        <f>COUNTIFS($Y$2:$Y$63, Y14, $S$2:$S$63, "&gt;"&amp;S14) + 1</f>
        <v>3</v>
      </c>
      <c r="U14" s="6">
        <f>0.85*E14+T14*0.15</f>
        <v>12.35</v>
      </c>
      <c r="V14" s="6">
        <f>100.4-0.4*W14</f>
        <v>95.2</v>
      </c>
      <c r="W14" s="6">
        <f>COUNTIFS($Y$2:$Y$63, Y14, $U$2:$U$63, "&lt;"&amp;U14) + 1</f>
        <v>13</v>
      </c>
      <c r="X14" s="5">
        <v>62</v>
      </c>
      <c r="Y14" s="6" t="s">
        <v>339</v>
      </c>
      <c r="Z14" s="10"/>
    </row>
    <row r="15" spans="1:26">
      <c r="A15" s="5">
        <v>343</v>
      </c>
      <c r="B15" s="5">
        <v>1120231785</v>
      </c>
      <c r="C15" s="6" t="s">
        <v>352</v>
      </c>
      <c r="D15" s="6" t="str">
        <f>VLOOKUP([1]成绩单!B42,[1]Sheet1!$A:$K,4,0)</f>
        <v>精工2310</v>
      </c>
      <c r="E15" s="5">
        <v>12</v>
      </c>
      <c r="F15" s="7">
        <v>0.193548</v>
      </c>
      <c r="G15" s="8">
        <v>87.052999999999997</v>
      </c>
      <c r="H15" s="5">
        <v>65</v>
      </c>
      <c r="I15" s="9">
        <v>141.5</v>
      </c>
      <c r="J15" s="5">
        <v>0</v>
      </c>
      <c r="K15" s="5">
        <v>0</v>
      </c>
      <c r="L15" s="6" t="s">
        <v>27</v>
      </c>
      <c r="M15" s="6">
        <v>2.9</v>
      </c>
      <c r="N15" s="6">
        <v>2</v>
      </c>
      <c r="O15" s="6">
        <v>5.6</v>
      </c>
      <c r="P15" s="6">
        <v>6.5</v>
      </c>
      <c r="Q15" s="6">
        <v>8.44</v>
      </c>
      <c r="R15" s="6"/>
      <c r="S15" s="6">
        <f>SUM(M15:Q15)</f>
        <v>25.439999999999998</v>
      </c>
      <c r="T15" s="6">
        <f>COUNTIFS($Y$2:$Y$63, Y15, $S$2:$S$63, "&gt;"&amp;S15) + 1</f>
        <v>16</v>
      </c>
      <c r="U15" s="6">
        <f>0.85*E15+T15*0.15</f>
        <v>12.6</v>
      </c>
      <c r="V15" s="6">
        <f>100.4-0.4*W15</f>
        <v>94.800000000000011</v>
      </c>
      <c r="W15" s="6">
        <f>COUNTIFS($Y$2:$Y$63, Y15, $U$2:$U$63, "&lt;"&amp;U15) + 1</f>
        <v>14</v>
      </c>
      <c r="X15" s="5">
        <v>62</v>
      </c>
      <c r="Y15" s="6" t="s">
        <v>339</v>
      </c>
      <c r="Z15" s="10"/>
    </row>
    <row r="16" spans="1:26">
      <c r="A16" s="5">
        <v>344</v>
      </c>
      <c r="B16" s="5">
        <v>1120233381</v>
      </c>
      <c r="C16" s="6" t="s">
        <v>353</v>
      </c>
      <c r="D16" s="6" t="str">
        <f>VLOOKUP([1]成绩单!B47,[1]Sheet1!$A:$K,4,0)</f>
        <v>精工2311</v>
      </c>
      <c r="E16" s="5">
        <v>17</v>
      </c>
      <c r="F16" s="7">
        <v>0.27419399999999999</v>
      </c>
      <c r="G16" s="8">
        <v>85.663799999999995</v>
      </c>
      <c r="H16" s="5">
        <v>68</v>
      </c>
      <c r="I16" s="5">
        <v>145</v>
      </c>
      <c r="J16" s="5">
        <v>0</v>
      </c>
      <c r="K16" s="5">
        <v>0</v>
      </c>
      <c r="L16" s="6" t="s">
        <v>27</v>
      </c>
      <c r="M16" s="6">
        <v>4</v>
      </c>
      <c r="N16" s="6">
        <v>5.5</v>
      </c>
      <c r="O16" s="6">
        <v>7</v>
      </c>
      <c r="P16" s="6">
        <v>9.1999999999999993</v>
      </c>
      <c r="Q16" s="6">
        <v>12.9</v>
      </c>
      <c r="R16" s="6"/>
      <c r="S16" s="6">
        <f>SUM(M16:Q16)</f>
        <v>38.6</v>
      </c>
      <c r="T16" s="6">
        <f>COUNTIFS($Y$2:$Y$63, Y16, $S$2:$S$63, "&gt;"&amp;S16) + 1</f>
        <v>6</v>
      </c>
      <c r="U16" s="6">
        <f>0.85*E16+T16*0.15</f>
        <v>15.35</v>
      </c>
      <c r="V16" s="6">
        <f>100.4-0.4*W16</f>
        <v>94.4</v>
      </c>
      <c r="W16" s="6">
        <f>COUNTIFS($Y$2:$Y$63, Y16, $U$2:$U$63, "&lt;"&amp;U16) + 1</f>
        <v>15</v>
      </c>
      <c r="X16" s="5">
        <v>62</v>
      </c>
      <c r="Y16" s="6" t="s">
        <v>339</v>
      </c>
      <c r="Z16" s="10"/>
    </row>
    <row r="17" spans="1:26">
      <c r="A17" s="5">
        <v>345</v>
      </c>
      <c r="B17" s="5">
        <v>1120231441</v>
      </c>
      <c r="C17" s="6" t="s">
        <v>354</v>
      </c>
      <c r="D17" s="6" t="str">
        <f>VLOOKUP([1]成绩单!B46,[1]Sheet1!$A:$K,4,0)</f>
        <v>精工2311</v>
      </c>
      <c r="E17" s="5">
        <v>16</v>
      </c>
      <c r="F17" s="7">
        <v>0.25806499999999999</v>
      </c>
      <c r="G17" s="8">
        <v>85.940299999999993</v>
      </c>
      <c r="H17" s="5">
        <v>68</v>
      </c>
      <c r="I17" s="9">
        <v>146.5</v>
      </c>
      <c r="J17" s="5">
        <v>0</v>
      </c>
      <c r="K17" s="5">
        <v>0</v>
      </c>
      <c r="L17" s="6" t="s">
        <v>27</v>
      </c>
      <c r="M17" s="6">
        <v>4.4000000000000004</v>
      </c>
      <c r="N17" s="6">
        <v>4.2</v>
      </c>
      <c r="O17" s="6">
        <v>4.5</v>
      </c>
      <c r="P17" s="6">
        <v>6.8</v>
      </c>
      <c r="Q17" s="6">
        <v>3</v>
      </c>
      <c r="R17" s="6"/>
      <c r="S17" s="6">
        <f>SUM(M17:Q17)</f>
        <v>22.900000000000002</v>
      </c>
      <c r="T17" s="6">
        <f>COUNTIFS($Y$2:$Y$63, Y17, $S$2:$S$63, "&gt;"&amp;S17) + 1</f>
        <v>17</v>
      </c>
      <c r="U17" s="6">
        <f>0.85*E17+T17*0.15</f>
        <v>16.149999999999999</v>
      </c>
      <c r="V17" s="6">
        <f>100.4-0.4*W17</f>
        <v>94</v>
      </c>
      <c r="W17" s="6">
        <f>COUNTIFS($Y$2:$Y$63, Y17, $U$2:$U$63, "&lt;"&amp;U17) + 1</f>
        <v>16</v>
      </c>
      <c r="X17" s="5">
        <v>62</v>
      </c>
      <c r="Y17" s="6" t="s">
        <v>339</v>
      </c>
      <c r="Z17" s="10"/>
    </row>
    <row r="18" spans="1:26">
      <c r="A18" s="5">
        <v>346</v>
      </c>
      <c r="B18" s="5">
        <v>1120232218</v>
      </c>
      <c r="C18" s="6" t="s">
        <v>355</v>
      </c>
      <c r="D18" s="6" t="str">
        <f>VLOOKUP([1]成绩单!B48,[1]Sheet1!$A:$K,4,0)</f>
        <v>精工2312</v>
      </c>
      <c r="E18" s="5">
        <v>18</v>
      </c>
      <c r="F18" s="7">
        <v>0.290323</v>
      </c>
      <c r="G18" s="8">
        <v>85.197900000000004</v>
      </c>
      <c r="H18" s="5">
        <v>65</v>
      </c>
      <c r="I18" s="9">
        <v>141.5</v>
      </c>
      <c r="J18" s="5">
        <v>0</v>
      </c>
      <c r="K18" s="5">
        <v>0</v>
      </c>
      <c r="L18" s="6" t="s">
        <v>27</v>
      </c>
      <c r="M18" s="6">
        <v>5.0999999999999996</v>
      </c>
      <c r="N18" s="6">
        <v>4.8499999999999996</v>
      </c>
      <c r="O18" s="6">
        <v>5.55</v>
      </c>
      <c r="P18" s="6">
        <v>10.7</v>
      </c>
      <c r="Q18" s="6">
        <v>10.8</v>
      </c>
      <c r="R18" s="6"/>
      <c r="S18" s="6">
        <f>SUM(M18:Q18)</f>
        <v>37</v>
      </c>
      <c r="T18" s="6">
        <f>COUNTIFS($Y$2:$Y$63, Y18, $S$2:$S$63, "&gt;"&amp;S18) + 1</f>
        <v>8</v>
      </c>
      <c r="U18" s="6">
        <f>0.85*E18+T18*0.15</f>
        <v>16.5</v>
      </c>
      <c r="V18" s="6">
        <f>100.4-0.4*W18</f>
        <v>93.600000000000009</v>
      </c>
      <c r="W18" s="6">
        <f>COUNTIFS($Y$2:$Y$63, Y18, $U$2:$U$63, "&lt;"&amp;U18) + 1</f>
        <v>17</v>
      </c>
      <c r="X18" s="5">
        <v>62</v>
      </c>
      <c r="Y18" s="6" t="s">
        <v>339</v>
      </c>
      <c r="Z18" s="10"/>
    </row>
    <row r="19" spans="1:26">
      <c r="A19" s="5">
        <v>347</v>
      </c>
      <c r="B19" s="5">
        <v>1120232318</v>
      </c>
      <c r="C19" s="6" t="s">
        <v>356</v>
      </c>
      <c r="D19" s="6" t="str">
        <f>VLOOKUP([1]成绩单!B49,[1]Sheet1!$A:$K,4,0)</f>
        <v>精工2313</v>
      </c>
      <c r="E19" s="5">
        <v>19</v>
      </c>
      <c r="F19" s="7">
        <v>0.306452</v>
      </c>
      <c r="G19" s="8">
        <v>84.645899999999997</v>
      </c>
      <c r="H19" s="5">
        <v>72</v>
      </c>
      <c r="I19" s="9">
        <v>152.5</v>
      </c>
      <c r="J19" s="5">
        <v>0</v>
      </c>
      <c r="K19" s="5">
        <v>0</v>
      </c>
      <c r="L19" s="6" t="s">
        <v>27</v>
      </c>
      <c r="M19" s="6">
        <v>2.8</v>
      </c>
      <c r="N19" s="6">
        <v>3</v>
      </c>
      <c r="O19" s="6">
        <v>7</v>
      </c>
      <c r="P19" s="6">
        <v>6.4</v>
      </c>
      <c r="Q19" s="6">
        <v>8.6999999999999993</v>
      </c>
      <c r="R19" s="6"/>
      <c r="S19" s="6">
        <f>SUM(M19:Q19)</f>
        <v>27.900000000000002</v>
      </c>
      <c r="T19" s="6">
        <f>COUNTIFS($Y$2:$Y$63, Y19, $S$2:$S$63, "&gt;"&amp;S19) + 1</f>
        <v>12</v>
      </c>
      <c r="U19" s="6">
        <f>0.85*E19+T19*0.15</f>
        <v>17.95</v>
      </c>
      <c r="V19" s="6">
        <f>100.4-0.4*W19</f>
        <v>93.2</v>
      </c>
      <c r="W19" s="6">
        <f>COUNTIFS($Y$2:$Y$63, Y19, $U$2:$U$63, "&lt;"&amp;U19) + 1</f>
        <v>18</v>
      </c>
      <c r="X19" s="5">
        <v>62</v>
      </c>
      <c r="Y19" s="6" t="s">
        <v>339</v>
      </c>
      <c r="Z19" s="10"/>
    </row>
    <row r="20" spans="1:26">
      <c r="A20" s="5">
        <v>348</v>
      </c>
      <c r="B20" s="5">
        <v>1120231279</v>
      </c>
      <c r="C20" s="6" t="s">
        <v>357</v>
      </c>
      <c r="D20" s="6" t="str">
        <f>VLOOKUP([1]成绩单!B51,[1]Sheet1!$A:$K,4,0)</f>
        <v>精工2311</v>
      </c>
      <c r="E20" s="5">
        <v>21</v>
      </c>
      <c r="F20" s="7">
        <v>0.33871000000000001</v>
      </c>
      <c r="G20" s="8">
        <v>84.209100000000007</v>
      </c>
      <c r="H20" s="5">
        <v>63</v>
      </c>
      <c r="I20" s="9">
        <v>137.5</v>
      </c>
      <c r="J20" s="5">
        <v>0</v>
      </c>
      <c r="K20" s="5">
        <v>0</v>
      </c>
      <c r="L20" s="6" t="s">
        <v>27</v>
      </c>
      <c r="M20" s="6">
        <v>1.85</v>
      </c>
      <c r="N20" s="6">
        <v>4</v>
      </c>
      <c r="O20" s="6">
        <v>8.8000000000000007</v>
      </c>
      <c r="P20" s="6">
        <v>8.6</v>
      </c>
      <c r="Q20" s="6">
        <v>9.5</v>
      </c>
      <c r="R20" s="6"/>
      <c r="S20" s="6">
        <f>SUM(M20:Q20)</f>
        <v>32.75</v>
      </c>
      <c r="T20" s="6">
        <f>COUNTIFS($Y$2:$Y$63, Y20, $S$2:$S$63, "&gt;"&amp;S20) + 1</f>
        <v>9</v>
      </c>
      <c r="U20" s="6">
        <f>0.85*E20+T20*0.15</f>
        <v>19.2</v>
      </c>
      <c r="V20" s="6">
        <f>100.4-0.4*W20</f>
        <v>92.800000000000011</v>
      </c>
      <c r="W20" s="6">
        <f>COUNTIFS($Y$2:$Y$63, Y20, $U$2:$U$63, "&lt;"&amp;U20) + 1</f>
        <v>19</v>
      </c>
      <c r="X20" s="5">
        <v>62</v>
      </c>
      <c r="Y20" s="6" t="s">
        <v>339</v>
      </c>
      <c r="Z20" s="10"/>
    </row>
    <row r="21" spans="1:26">
      <c r="A21" s="5">
        <v>349</v>
      </c>
      <c r="B21" s="5">
        <v>1120232755</v>
      </c>
      <c r="C21" s="6" t="s">
        <v>358</v>
      </c>
      <c r="D21" s="6" t="str">
        <f>VLOOKUP([1]成绩单!B50,[1]Sheet1!$A:$K,4,0)</f>
        <v>精工2313</v>
      </c>
      <c r="E21" s="5">
        <v>20</v>
      </c>
      <c r="F21" s="7">
        <v>0.32258100000000001</v>
      </c>
      <c r="G21" s="8">
        <v>84.438100000000006</v>
      </c>
      <c r="H21" s="5">
        <v>69</v>
      </c>
      <c r="I21" s="9">
        <v>149.5</v>
      </c>
      <c r="J21" s="5">
        <v>0</v>
      </c>
      <c r="K21" s="5">
        <v>0</v>
      </c>
      <c r="L21" s="6" t="s">
        <v>27</v>
      </c>
      <c r="M21" s="6">
        <v>1.1000000000000001</v>
      </c>
      <c r="N21" s="6">
        <v>2.7</v>
      </c>
      <c r="O21" s="6">
        <v>3</v>
      </c>
      <c r="P21" s="6">
        <v>4.7</v>
      </c>
      <c r="Q21" s="6">
        <v>2.5</v>
      </c>
      <c r="R21" s="6"/>
      <c r="S21" s="6">
        <f>SUM(M21:Q21)</f>
        <v>14</v>
      </c>
      <c r="T21" s="6">
        <f>COUNTIFS($Y$2:$Y$63, Y21, $S$2:$S$63, "&gt;"&amp;S21) + 1</f>
        <v>26</v>
      </c>
      <c r="U21" s="6">
        <f>0.85*E21+T21*0.15</f>
        <v>20.9</v>
      </c>
      <c r="V21" s="6">
        <f>100.4-0.4*W21</f>
        <v>92.4</v>
      </c>
      <c r="W21" s="6">
        <f>COUNTIFS($Y$2:$Y$63, Y21, $U$2:$U$63, "&lt;"&amp;U21) + 1</f>
        <v>20</v>
      </c>
      <c r="X21" s="5">
        <v>62</v>
      </c>
      <c r="Y21" s="6" t="s">
        <v>339</v>
      </c>
      <c r="Z21" s="10"/>
    </row>
    <row r="22" spans="1:26">
      <c r="A22" s="5">
        <v>350</v>
      </c>
      <c r="B22" s="5">
        <v>1120232868</v>
      </c>
      <c r="C22" s="6" t="s">
        <v>359</v>
      </c>
      <c r="D22" s="6" t="str">
        <f>VLOOKUP([1]成绩单!B45,[1]Sheet1!$A:$K,4,0)</f>
        <v>精工2310</v>
      </c>
      <c r="E22" s="5">
        <v>15</v>
      </c>
      <c r="F22" s="7">
        <v>0.24193500000000001</v>
      </c>
      <c r="G22" s="8">
        <v>86.028800000000004</v>
      </c>
      <c r="H22" s="5">
        <v>71</v>
      </c>
      <c r="I22" s="9">
        <v>147.5</v>
      </c>
      <c r="J22" s="5">
        <v>0</v>
      </c>
      <c r="K22" s="5">
        <v>0</v>
      </c>
      <c r="L22" s="6" t="s">
        <v>27</v>
      </c>
      <c r="M22" s="6">
        <v>0</v>
      </c>
      <c r="N22" s="6">
        <v>0.7</v>
      </c>
      <c r="O22" s="6">
        <v>0.3</v>
      </c>
      <c r="P22" s="6">
        <v>0</v>
      </c>
      <c r="Q22" s="6">
        <v>0</v>
      </c>
      <c r="R22" s="6"/>
      <c r="S22" s="6">
        <f>SUM(M22:Q22)</f>
        <v>1</v>
      </c>
      <c r="T22" s="6">
        <f>COUNTIFS($Y$2:$Y$63, Y22, $S$2:$S$63, "&gt;"&amp;S22) + 1</f>
        <v>57</v>
      </c>
      <c r="U22" s="6">
        <f>0.85*E22+T22*0.15</f>
        <v>21.299999999999997</v>
      </c>
      <c r="V22" s="6">
        <f>100.4-0.4*W22</f>
        <v>92</v>
      </c>
      <c r="W22" s="6">
        <f>COUNTIFS($Y$2:$Y$63, Y22, $U$2:$U$63, "&lt;"&amp;U22) + 1</f>
        <v>21</v>
      </c>
      <c r="X22" s="5">
        <v>62</v>
      </c>
      <c r="Y22" s="6" t="s">
        <v>339</v>
      </c>
      <c r="Z22" s="10"/>
    </row>
    <row r="23" spans="1:26">
      <c r="A23" s="5">
        <v>351</v>
      </c>
      <c r="B23" s="5">
        <v>1120232514</v>
      </c>
      <c r="C23" s="6" t="s">
        <v>360</v>
      </c>
      <c r="D23" s="6" t="str">
        <f>VLOOKUP([1]成绩单!B53,[1]Sheet1!$A:$K,4,0)</f>
        <v>精工2312</v>
      </c>
      <c r="E23" s="5">
        <v>23</v>
      </c>
      <c r="F23" s="7">
        <v>0.37096800000000002</v>
      </c>
      <c r="G23" s="8">
        <v>83.661299999999997</v>
      </c>
      <c r="H23" s="5">
        <v>64</v>
      </c>
      <c r="I23" s="9">
        <v>139.5</v>
      </c>
      <c r="J23" s="5">
        <v>0</v>
      </c>
      <c r="K23" s="5">
        <v>0</v>
      </c>
      <c r="L23" s="6" t="s">
        <v>27</v>
      </c>
      <c r="M23" s="6">
        <v>0.45</v>
      </c>
      <c r="N23" s="6">
        <v>1</v>
      </c>
      <c r="O23" s="6">
        <v>3.9</v>
      </c>
      <c r="P23" s="6">
        <v>0.9</v>
      </c>
      <c r="Q23" s="6">
        <v>0</v>
      </c>
      <c r="R23" s="6"/>
      <c r="S23" s="6">
        <f>SUM(M23:Q23)</f>
        <v>6.25</v>
      </c>
      <c r="T23" s="6">
        <f>COUNTIFS($Y$2:$Y$63, Y23, $S$2:$S$63, "&gt;"&amp;S23) + 1</f>
        <v>38</v>
      </c>
      <c r="U23" s="6">
        <f>0.85*E23+T23*0.15</f>
        <v>25.25</v>
      </c>
      <c r="V23" s="6">
        <f>100.4-0.4*W23</f>
        <v>91.600000000000009</v>
      </c>
      <c r="W23" s="6">
        <f>COUNTIFS($Y$2:$Y$63, Y23, $U$2:$U$63, "&lt;"&amp;U23) + 1</f>
        <v>22</v>
      </c>
      <c r="X23" s="5">
        <v>62</v>
      </c>
      <c r="Y23" s="6" t="s">
        <v>339</v>
      </c>
      <c r="Z23" s="10"/>
    </row>
    <row r="24" spans="1:26">
      <c r="A24" s="5">
        <v>352</v>
      </c>
      <c r="B24" s="5">
        <v>1120231773</v>
      </c>
      <c r="C24" s="6" t="s">
        <v>361</v>
      </c>
      <c r="D24" s="6" t="str">
        <f>VLOOKUP([1]成绩单!B52,[1]Sheet1!$A:$K,4,0)</f>
        <v>精工2311</v>
      </c>
      <c r="E24" s="5">
        <v>22</v>
      </c>
      <c r="F24" s="7">
        <v>0.35483900000000002</v>
      </c>
      <c r="G24" s="8">
        <v>83.815399999999997</v>
      </c>
      <c r="H24" s="5">
        <v>64</v>
      </c>
      <c r="I24" s="9">
        <v>139.5</v>
      </c>
      <c r="J24" s="5">
        <v>0</v>
      </c>
      <c r="K24" s="5">
        <v>0</v>
      </c>
      <c r="L24" s="6" t="s">
        <v>27</v>
      </c>
      <c r="M24" s="6">
        <v>1</v>
      </c>
      <c r="N24" s="6">
        <v>1</v>
      </c>
      <c r="O24" s="6">
        <v>1</v>
      </c>
      <c r="P24" s="6">
        <v>0</v>
      </c>
      <c r="Q24" s="6">
        <v>0.2</v>
      </c>
      <c r="R24" s="6"/>
      <c r="S24" s="6">
        <f>SUM(M24:Q24)</f>
        <v>3.2</v>
      </c>
      <c r="T24" s="6">
        <f>COUNTIFS($Y$2:$Y$63, Y24, $S$2:$S$63, "&gt;"&amp;S24) + 1</f>
        <v>48</v>
      </c>
      <c r="U24" s="6">
        <f>0.85*E24+T24*0.15</f>
        <v>25.9</v>
      </c>
      <c r="V24" s="6">
        <f>100.4-0.4*W24</f>
        <v>91.2</v>
      </c>
      <c r="W24" s="6">
        <f>COUNTIFS($Y$2:$Y$63, Y24, $U$2:$U$63, "&lt;"&amp;U24) + 1</f>
        <v>23</v>
      </c>
      <c r="X24" s="5">
        <v>62</v>
      </c>
      <c r="Y24" s="6" t="s">
        <v>339</v>
      </c>
      <c r="Z24" s="10"/>
    </row>
    <row r="25" spans="1:26">
      <c r="A25" s="5">
        <v>353</v>
      </c>
      <c r="B25" s="5">
        <v>1120231026</v>
      </c>
      <c r="C25" s="6" t="s">
        <v>362</v>
      </c>
      <c r="D25" s="6" t="str">
        <f>VLOOKUP([1]成绩单!B55,[1]Sheet1!$A:$K,4,0)</f>
        <v>精工2312</v>
      </c>
      <c r="E25" s="5">
        <v>25</v>
      </c>
      <c r="F25" s="7">
        <v>0.40322599999999997</v>
      </c>
      <c r="G25" s="8">
        <v>82.307699999999997</v>
      </c>
      <c r="H25" s="5">
        <v>65</v>
      </c>
      <c r="I25" s="5">
        <v>143</v>
      </c>
      <c r="J25" s="5">
        <v>0</v>
      </c>
      <c r="K25" s="5">
        <v>0</v>
      </c>
      <c r="L25" s="6" t="s">
        <v>27</v>
      </c>
      <c r="M25" s="6">
        <v>3.15</v>
      </c>
      <c r="N25" s="6">
        <v>1.55</v>
      </c>
      <c r="O25" s="6">
        <v>1.5</v>
      </c>
      <c r="P25" s="6">
        <v>1.1000000000000001</v>
      </c>
      <c r="Q25" s="6">
        <v>3.4</v>
      </c>
      <c r="R25" s="6"/>
      <c r="S25" s="6">
        <f>SUM(M25:Q25)</f>
        <v>10.700000000000001</v>
      </c>
      <c r="T25" s="6">
        <f>COUNTIFS($Y$2:$Y$63, Y25, $S$2:$S$63, "&gt;"&amp;S25) + 1</f>
        <v>32</v>
      </c>
      <c r="U25" s="6">
        <f>0.85*E25+T25*0.15</f>
        <v>26.05</v>
      </c>
      <c r="V25" s="6">
        <f>100.4-0.4*W25</f>
        <v>90.800000000000011</v>
      </c>
      <c r="W25" s="6">
        <f>COUNTIFS($Y$2:$Y$63, Y25, $U$2:$U$63, "&lt;"&amp;U25) + 1</f>
        <v>24</v>
      </c>
      <c r="X25" s="5">
        <v>62</v>
      </c>
      <c r="Y25" s="6" t="s">
        <v>339</v>
      </c>
      <c r="Z25" s="10"/>
    </row>
    <row r="26" spans="1:26">
      <c r="A26" s="5">
        <v>354</v>
      </c>
      <c r="B26" s="5">
        <v>1120231438</v>
      </c>
      <c r="C26" s="6" t="s">
        <v>363</v>
      </c>
      <c r="D26" s="6" t="str">
        <f>VLOOKUP([1]成绩单!B58,[1]Sheet1!$A:$K,4,0)</f>
        <v>精工2312</v>
      </c>
      <c r="E26" s="5">
        <v>28</v>
      </c>
      <c r="F26" s="7">
        <v>0.45161299999999999</v>
      </c>
      <c r="G26" s="8">
        <v>81.797799999999995</v>
      </c>
      <c r="H26" s="5">
        <v>63</v>
      </c>
      <c r="I26" s="9">
        <v>138.5</v>
      </c>
      <c r="J26" s="5">
        <v>0</v>
      </c>
      <c r="K26" s="5">
        <v>0</v>
      </c>
      <c r="L26" s="6" t="s">
        <v>27</v>
      </c>
      <c r="M26" s="6">
        <v>2.35</v>
      </c>
      <c r="N26" s="6">
        <v>1.7</v>
      </c>
      <c r="O26" s="6">
        <v>6.5</v>
      </c>
      <c r="P26" s="6">
        <v>7.9</v>
      </c>
      <c r="Q26" s="6">
        <v>7.4</v>
      </c>
      <c r="R26" s="6"/>
      <c r="S26" s="6">
        <f>SUM(M26:Q26)</f>
        <v>25.85</v>
      </c>
      <c r="T26" s="6">
        <f>COUNTIFS($Y$2:$Y$63, Y26, $S$2:$S$63, "&gt;"&amp;S26) + 1</f>
        <v>15</v>
      </c>
      <c r="U26" s="6">
        <f>0.85*E26+T26*0.15</f>
        <v>26.05</v>
      </c>
      <c r="V26" s="6">
        <f>100.4-0.4*W26</f>
        <v>90.800000000000011</v>
      </c>
      <c r="W26" s="6">
        <f>COUNTIFS($Y$2:$Y$63, Y26, $U$2:$U$63, "&lt;"&amp;U26) + 1</f>
        <v>24</v>
      </c>
      <c r="X26" s="5">
        <v>62</v>
      </c>
      <c r="Y26" s="6" t="s">
        <v>339</v>
      </c>
      <c r="Z26" s="10"/>
    </row>
    <row r="27" spans="1:26">
      <c r="A27" s="5">
        <v>355</v>
      </c>
      <c r="B27" s="5">
        <v>1120232498</v>
      </c>
      <c r="C27" s="6" t="s">
        <v>364</v>
      </c>
      <c r="D27" s="6" t="str">
        <f>VLOOKUP([1]成绩单!B54,[1]Sheet1!$A:$K,4,0)</f>
        <v>精工2313</v>
      </c>
      <c r="E27" s="5">
        <v>24</v>
      </c>
      <c r="F27" s="7">
        <v>0.38709700000000002</v>
      </c>
      <c r="G27" s="8">
        <v>83.376800000000003</v>
      </c>
      <c r="H27" s="5">
        <v>66</v>
      </c>
      <c r="I27" s="5">
        <v>142</v>
      </c>
      <c r="J27" s="5">
        <v>0</v>
      </c>
      <c r="K27" s="5">
        <v>0</v>
      </c>
      <c r="L27" s="6" t="s">
        <v>27</v>
      </c>
      <c r="M27" s="6">
        <v>0.2</v>
      </c>
      <c r="N27" s="6">
        <v>1.2</v>
      </c>
      <c r="O27" s="6">
        <v>0.2</v>
      </c>
      <c r="P27" s="6">
        <v>1.2</v>
      </c>
      <c r="Q27" s="6">
        <v>3.25</v>
      </c>
      <c r="R27" s="6"/>
      <c r="S27" s="6">
        <f>SUM(M27:Q27)</f>
        <v>6.05</v>
      </c>
      <c r="T27" s="6">
        <f>COUNTIFS($Y$2:$Y$63, Y27, $S$2:$S$63, "&gt;"&amp;S27) + 1</f>
        <v>39</v>
      </c>
      <c r="U27" s="6">
        <f>0.85*E27+T27*0.15</f>
        <v>26.25</v>
      </c>
      <c r="V27" s="6">
        <f>100.4-0.4*W27</f>
        <v>90</v>
      </c>
      <c r="W27" s="6">
        <f>COUNTIFS($Y$2:$Y$63, Y27, $U$2:$U$63, "&lt;"&amp;U27) + 1</f>
        <v>26</v>
      </c>
      <c r="X27" s="5">
        <v>62</v>
      </c>
      <c r="Y27" s="6" t="s">
        <v>339</v>
      </c>
      <c r="Z27" s="10"/>
    </row>
    <row r="28" spans="1:26">
      <c r="A28" s="5">
        <v>356</v>
      </c>
      <c r="B28" s="5">
        <v>1120231431</v>
      </c>
      <c r="C28" s="6" t="s">
        <v>365</v>
      </c>
      <c r="D28" s="6" t="str">
        <f>VLOOKUP([1]成绩单!B57,[1]Sheet1!$A:$K,4,0)</f>
        <v>精工2312</v>
      </c>
      <c r="E28" s="5">
        <v>27</v>
      </c>
      <c r="F28" s="7">
        <v>0.43548399999999998</v>
      </c>
      <c r="G28" s="8">
        <v>81.889499999999998</v>
      </c>
      <c r="H28" s="5">
        <v>64</v>
      </c>
      <c r="I28" s="5">
        <v>138</v>
      </c>
      <c r="J28" s="5">
        <v>0</v>
      </c>
      <c r="K28" s="5">
        <v>0</v>
      </c>
      <c r="L28" s="6" t="s">
        <v>27</v>
      </c>
      <c r="M28" s="6">
        <v>2</v>
      </c>
      <c r="N28" s="6">
        <v>1.5</v>
      </c>
      <c r="O28" s="6">
        <v>2.8</v>
      </c>
      <c r="P28" s="6">
        <v>6.34</v>
      </c>
      <c r="Q28" s="6">
        <v>1.9</v>
      </c>
      <c r="R28" s="6"/>
      <c r="S28" s="6">
        <f>SUM(M28:Q28)</f>
        <v>14.540000000000001</v>
      </c>
      <c r="T28" s="6">
        <f>COUNTIFS($Y$2:$Y$63, Y28, $S$2:$S$63, "&gt;"&amp;S28) + 1</f>
        <v>25</v>
      </c>
      <c r="U28" s="6">
        <f>0.85*E28+T28*0.15</f>
        <v>26.7</v>
      </c>
      <c r="V28" s="6">
        <f>100.4-0.4*W28</f>
        <v>89.600000000000009</v>
      </c>
      <c r="W28" s="6">
        <f>COUNTIFS($Y$2:$Y$63, Y28, $U$2:$U$63, "&lt;"&amp;U28) + 1</f>
        <v>27</v>
      </c>
      <c r="X28" s="5">
        <v>62</v>
      </c>
      <c r="Y28" s="6" t="s">
        <v>339</v>
      </c>
      <c r="Z28" s="10"/>
    </row>
    <row r="29" spans="1:26">
      <c r="A29" s="5">
        <v>357</v>
      </c>
      <c r="B29" s="5">
        <v>1120231639</v>
      </c>
      <c r="C29" s="6" t="s">
        <v>366</v>
      </c>
      <c r="D29" s="6" t="str">
        <f>VLOOKUP([1]成绩单!B56,[1]Sheet1!$A:$K,4,0)</f>
        <v>精工2312</v>
      </c>
      <c r="E29" s="5">
        <v>26</v>
      </c>
      <c r="F29" s="7">
        <v>0.41935499999999998</v>
      </c>
      <c r="G29" s="8">
        <v>81.898200000000003</v>
      </c>
      <c r="H29" s="5">
        <v>63</v>
      </c>
      <c r="I29" s="9">
        <v>137.5</v>
      </c>
      <c r="J29" s="5">
        <v>0</v>
      </c>
      <c r="K29" s="5">
        <v>0</v>
      </c>
      <c r="L29" s="6" t="s">
        <v>27</v>
      </c>
      <c r="M29" s="6">
        <v>2.2000000000000002</v>
      </c>
      <c r="N29" s="6">
        <v>2.95</v>
      </c>
      <c r="O29" s="6">
        <v>1.5</v>
      </c>
      <c r="P29" s="6">
        <v>0.48</v>
      </c>
      <c r="Q29" s="6">
        <v>0</v>
      </c>
      <c r="R29" s="6"/>
      <c r="S29" s="6">
        <f>SUM(M29:Q29)</f>
        <v>7.1300000000000008</v>
      </c>
      <c r="T29" s="6">
        <f>COUNTIFS($Y$2:$Y$63, Y29, $S$2:$S$63, "&gt;"&amp;S29) + 1</f>
        <v>36</v>
      </c>
      <c r="U29" s="6">
        <f>0.85*E29+T29*0.15</f>
        <v>27.499999999999996</v>
      </c>
      <c r="V29" s="6">
        <f>100.4-0.4*W29</f>
        <v>89.2</v>
      </c>
      <c r="W29" s="6">
        <f>COUNTIFS($Y$2:$Y$63, Y29, $U$2:$U$63, "&lt;"&amp;U29) + 1</f>
        <v>28</v>
      </c>
      <c r="X29" s="5">
        <v>62</v>
      </c>
      <c r="Y29" s="6" t="s">
        <v>339</v>
      </c>
      <c r="Z29" s="10"/>
    </row>
    <row r="30" spans="1:26">
      <c r="A30" s="5">
        <v>358</v>
      </c>
      <c r="B30" s="5">
        <v>1120233574</v>
      </c>
      <c r="C30" s="6" t="s">
        <v>367</v>
      </c>
      <c r="D30" s="6" t="str">
        <f>VLOOKUP([1]成绩单!B59,[1]Sheet1!$A:$K,4,0)</f>
        <v>精工2313</v>
      </c>
      <c r="E30" s="5">
        <v>29</v>
      </c>
      <c r="F30" s="7">
        <v>0.46774199999999999</v>
      </c>
      <c r="G30" s="8">
        <v>81.204099999999997</v>
      </c>
      <c r="H30" s="5">
        <v>69</v>
      </c>
      <c r="I30" s="5">
        <v>147</v>
      </c>
      <c r="J30" s="5">
        <v>1</v>
      </c>
      <c r="K30" s="5">
        <v>1</v>
      </c>
      <c r="L30" s="6" t="s">
        <v>27</v>
      </c>
      <c r="M30" s="6">
        <v>0.8</v>
      </c>
      <c r="N30" s="6">
        <v>0</v>
      </c>
      <c r="O30" s="6">
        <v>0.4</v>
      </c>
      <c r="P30" s="6">
        <v>1</v>
      </c>
      <c r="Q30" s="6">
        <v>2.4</v>
      </c>
      <c r="R30" s="6"/>
      <c r="S30" s="6">
        <f>SUM(M30:Q30)</f>
        <v>4.5999999999999996</v>
      </c>
      <c r="T30" s="6">
        <f>COUNTIFS($Y$2:$Y$63, Y30, $S$2:$S$63, "&gt;"&amp;S30) + 1</f>
        <v>43</v>
      </c>
      <c r="U30" s="6">
        <f>0.85*E30+T30*0.15</f>
        <v>31.099999999999998</v>
      </c>
      <c r="V30" s="6">
        <f>100.4-0.4*W30</f>
        <v>88.800000000000011</v>
      </c>
      <c r="W30" s="6">
        <f>COUNTIFS($Y$2:$Y$63, Y30, $U$2:$U$63, "&lt;"&amp;U30) + 1</f>
        <v>29</v>
      </c>
      <c r="X30" s="5">
        <v>62</v>
      </c>
      <c r="Y30" s="6" t="s">
        <v>339</v>
      </c>
      <c r="Z30" s="10"/>
    </row>
    <row r="31" spans="1:26">
      <c r="A31" s="5">
        <v>359</v>
      </c>
      <c r="B31" s="5">
        <v>1120232206</v>
      </c>
      <c r="C31" s="6" t="s">
        <v>368</v>
      </c>
      <c r="D31" s="6" t="str">
        <f>VLOOKUP([1]成绩单!B60,[1]Sheet1!$A:$K,4,0)</f>
        <v>精工2310</v>
      </c>
      <c r="E31" s="5">
        <v>30</v>
      </c>
      <c r="F31" s="7">
        <v>0.483871</v>
      </c>
      <c r="G31" s="8">
        <v>80.159899999999993</v>
      </c>
      <c r="H31" s="5">
        <v>67</v>
      </c>
      <c r="I31" s="11">
        <v>142.25</v>
      </c>
      <c r="J31" s="5">
        <v>0</v>
      </c>
      <c r="K31" s="5">
        <v>0</v>
      </c>
      <c r="L31" s="6" t="s">
        <v>27</v>
      </c>
      <c r="M31" s="6">
        <v>1.4</v>
      </c>
      <c r="N31" s="6">
        <v>0.2</v>
      </c>
      <c r="O31" s="6">
        <v>2.7</v>
      </c>
      <c r="P31" s="6">
        <v>1.2</v>
      </c>
      <c r="Q31" s="6">
        <v>0.2</v>
      </c>
      <c r="R31" s="6"/>
      <c r="S31" s="6">
        <f>SUM(M31:Q31)</f>
        <v>5.7</v>
      </c>
      <c r="T31" s="6">
        <f>COUNTIFS($Y$2:$Y$63, Y31, $S$2:$S$63, "&gt;"&amp;S31) + 1</f>
        <v>40</v>
      </c>
      <c r="U31" s="6">
        <f>0.85*E31+T31*0.15</f>
        <v>31.5</v>
      </c>
      <c r="V31" s="6">
        <f>100.4-0.4*W31</f>
        <v>88.4</v>
      </c>
      <c r="W31" s="6">
        <f>COUNTIFS($Y$2:$Y$63, Y31, $U$2:$U$63, "&lt;"&amp;U31) + 1</f>
        <v>30</v>
      </c>
      <c r="X31" s="5">
        <v>62</v>
      </c>
      <c r="Y31" s="6" t="s">
        <v>339</v>
      </c>
      <c r="Z31" s="10"/>
    </row>
    <row r="32" spans="1:26">
      <c r="A32" s="5">
        <v>360</v>
      </c>
      <c r="B32" s="5">
        <v>1120232199</v>
      </c>
      <c r="C32" s="6" t="s">
        <v>369</v>
      </c>
      <c r="D32" s="6" t="str">
        <f>VLOOKUP([1]成绩单!B64,[1]Sheet1!$A:$K,4,0)</f>
        <v>精工2313</v>
      </c>
      <c r="E32" s="5">
        <v>34</v>
      </c>
      <c r="F32" s="7">
        <v>0.54838699999999996</v>
      </c>
      <c r="G32" s="8">
        <v>78.815899999999999</v>
      </c>
      <c r="H32" s="5">
        <v>66</v>
      </c>
      <c r="I32" s="11">
        <v>141.25</v>
      </c>
      <c r="J32" s="5">
        <v>2</v>
      </c>
      <c r="K32" s="5">
        <v>1</v>
      </c>
      <c r="L32" s="6" t="s">
        <v>27</v>
      </c>
      <c r="M32" s="6">
        <v>3.8</v>
      </c>
      <c r="N32" s="6">
        <v>2.5249999999999999</v>
      </c>
      <c r="O32" s="6">
        <v>11.6</v>
      </c>
      <c r="P32" s="6">
        <v>4.45</v>
      </c>
      <c r="Q32" s="6">
        <v>0</v>
      </c>
      <c r="R32" s="6"/>
      <c r="S32" s="6">
        <f>SUM(M32:Q32)</f>
        <v>22.374999999999996</v>
      </c>
      <c r="T32" s="6">
        <f>COUNTIFS($Y$2:$Y$63, Y32, $S$2:$S$63, "&gt;"&amp;S32) + 1</f>
        <v>18</v>
      </c>
      <c r="U32" s="6">
        <f>0.85*E32+T32*0.15</f>
        <v>31.599999999999998</v>
      </c>
      <c r="V32" s="6">
        <f>100.4-0.4*W32</f>
        <v>88</v>
      </c>
      <c r="W32" s="6">
        <f>COUNTIFS($Y$2:$Y$63, Y32, $U$2:$U$63, "&lt;"&amp;U32) + 1</f>
        <v>31</v>
      </c>
      <c r="X32" s="5">
        <v>62</v>
      </c>
      <c r="Y32" s="6" t="s">
        <v>339</v>
      </c>
      <c r="Z32" s="10"/>
    </row>
    <row r="33" spans="1:26">
      <c r="A33" s="5">
        <v>361</v>
      </c>
      <c r="B33" s="5">
        <v>1120231012</v>
      </c>
      <c r="C33" s="6" t="s">
        <v>370</v>
      </c>
      <c r="D33" s="6" t="str">
        <f>VLOOKUP([1]成绩单!B62,[1]Sheet1!$A:$K,4,0)</f>
        <v>精工2310</v>
      </c>
      <c r="E33" s="5">
        <v>32</v>
      </c>
      <c r="F33" s="7">
        <v>0.51612899999999995</v>
      </c>
      <c r="G33" s="8">
        <v>79.4255</v>
      </c>
      <c r="H33" s="5">
        <v>63</v>
      </c>
      <c r="I33" s="9">
        <v>137.5</v>
      </c>
      <c r="J33" s="5">
        <v>2</v>
      </c>
      <c r="K33" s="5">
        <v>2</v>
      </c>
      <c r="L33" s="6" t="s">
        <v>27</v>
      </c>
      <c r="M33" s="6">
        <v>3</v>
      </c>
      <c r="N33" s="6">
        <v>1.2</v>
      </c>
      <c r="O33" s="6">
        <v>2.4</v>
      </c>
      <c r="P33" s="6">
        <v>1.1499999999999999</v>
      </c>
      <c r="Q33" s="6">
        <v>1.2</v>
      </c>
      <c r="R33" s="6"/>
      <c r="S33" s="6">
        <f>SUM(M33:Q33)</f>
        <v>8.9499999999999993</v>
      </c>
      <c r="T33" s="6">
        <f>COUNTIFS($Y$2:$Y$63, Y33, $S$2:$S$63, "&gt;"&amp;S33) + 1</f>
        <v>34</v>
      </c>
      <c r="U33" s="6">
        <f>0.85*E33+T33*0.15</f>
        <v>32.299999999999997</v>
      </c>
      <c r="V33" s="6">
        <f>100.4-0.4*W33</f>
        <v>87.600000000000009</v>
      </c>
      <c r="W33" s="6">
        <f>COUNTIFS($Y$2:$Y$63, Y33, $U$2:$U$63, "&lt;"&amp;U33) + 1</f>
        <v>32</v>
      </c>
      <c r="X33" s="5">
        <v>62</v>
      </c>
      <c r="Y33" s="6" t="s">
        <v>339</v>
      </c>
      <c r="Z33" s="10"/>
    </row>
    <row r="34" spans="1:26">
      <c r="A34" s="5">
        <v>362</v>
      </c>
      <c r="B34" s="5">
        <v>1120232513</v>
      </c>
      <c r="C34" s="6" t="s">
        <v>371</v>
      </c>
      <c r="D34" s="6" t="str">
        <f>VLOOKUP([1]成绩单!B66,[1]Sheet1!$A:$K,4,0)</f>
        <v>精工2311</v>
      </c>
      <c r="E34" s="5">
        <v>36</v>
      </c>
      <c r="F34" s="7">
        <v>0.58064499999999997</v>
      </c>
      <c r="G34" s="8">
        <v>77.9983</v>
      </c>
      <c r="H34" s="5">
        <v>66</v>
      </c>
      <c r="I34" s="9">
        <v>143.5</v>
      </c>
      <c r="J34" s="5">
        <v>1</v>
      </c>
      <c r="K34" s="5">
        <v>0</v>
      </c>
      <c r="L34" s="6" t="s">
        <v>27</v>
      </c>
      <c r="M34" s="6">
        <v>1.9</v>
      </c>
      <c r="N34" s="6">
        <v>1.2</v>
      </c>
      <c r="O34" s="6">
        <v>2</v>
      </c>
      <c r="P34" s="6">
        <v>5.6</v>
      </c>
      <c r="Q34" s="6">
        <v>0.7</v>
      </c>
      <c r="R34" s="6"/>
      <c r="S34" s="6">
        <f>SUM(M34:Q34)</f>
        <v>11.399999999999999</v>
      </c>
      <c r="T34" s="6">
        <f>COUNTIFS($Y$2:$Y$63, Y34, $S$2:$S$63, "&gt;"&amp;S34) + 1</f>
        <v>29</v>
      </c>
      <c r="U34" s="6">
        <f>0.85*E34+T34*0.15</f>
        <v>34.949999999999996</v>
      </c>
      <c r="V34" s="6">
        <f>100.4-0.4*W34</f>
        <v>87.2</v>
      </c>
      <c r="W34" s="6">
        <f>COUNTIFS($Y$2:$Y$63, Y34, $U$2:$U$63, "&lt;"&amp;U34) + 1</f>
        <v>33</v>
      </c>
      <c r="X34" s="5">
        <v>62</v>
      </c>
      <c r="Y34" s="6" t="s">
        <v>339</v>
      </c>
      <c r="Z34" s="10"/>
    </row>
    <row r="35" spans="1:26">
      <c r="A35" s="5">
        <v>363</v>
      </c>
      <c r="B35" s="5">
        <v>1120231539</v>
      </c>
      <c r="C35" s="6" t="s">
        <v>372</v>
      </c>
      <c r="D35" s="6" t="str">
        <f>VLOOKUP([1]成绩单!B61,[1]Sheet1!$A:$K,4,0)</f>
        <v>精工2310</v>
      </c>
      <c r="E35" s="5">
        <v>31</v>
      </c>
      <c r="F35" s="7">
        <v>0.5</v>
      </c>
      <c r="G35" s="8">
        <v>79.646299999999997</v>
      </c>
      <c r="H35" s="5">
        <v>66</v>
      </c>
      <c r="I35" s="9">
        <v>143.5</v>
      </c>
      <c r="J35" s="5">
        <v>0</v>
      </c>
      <c r="K35" s="5">
        <v>0</v>
      </c>
      <c r="L35" s="6" t="s">
        <v>96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/>
      <c r="S35" s="6">
        <f>SUM(M35:Q35)</f>
        <v>0</v>
      </c>
      <c r="T35" s="6">
        <f>COUNTIFS($Y$2:$Y$63, Y35, $S$2:$S$63, "&gt;"&amp;S35) + 1</f>
        <v>58</v>
      </c>
      <c r="U35" s="6">
        <f>0.85*E35+T35*0.15</f>
        <v>35.049999999999997</v>
      </c>
      <c r="V35" s="6">
        <f>100.4-0.4*W35</f>
        <v>86.800000000000011</v>
      </c>
      <c r="W35" s="6">
        <f>COUNTIFS($Y$2:$Y$63, Y35, $U$2:$U$63, "&lt;"&amp;U35) + 1</f>
        <v>34</v>
      </c>
      <c r="X35" s="5">
        <v>62</v>
      </c>
      <c r="Y35" s="6" t="s">
        <v>339</v>
      </c>
      <c r="Z35" s="10"/>
    </row>
    <row r="36" spans="1:26">
      <c r="A36" s="5">
        <v>364</v>
      </c>
      <c r="B36" s="5">
        <v>1120232874</v>
      </c>
      <c r="C36" s="6" t="s">
        <v>373</v>
      </c>
      <c r="D36" s="6" t="str">
        <f>VLOOKUP([1]成绩单!B63,[1]Sheet1!$A:$K,4,0)</f>
        <v>精工2310</v>
      </c>
      <c r="E36" s="5">
        <v>33</v>
      </c>
      <c r="F36" s="7">
        <v>0.53225800000000001</v>
      </c>
      <c r="G36" s="8">
        <v>79.080699999999993</v>
      </c>
      <c r="H36" s="5">
        <v>66</v>
      </c>
      <c r="I36" s="9">
        <v>142.5</v>
      </c>
      <c r="J36" s="5">
        <v>0</v>
      </c>
      <c r="K36" s="5">
        <v>0</v>
      </c>
      <c r="L36" s="6" t="s">
        <v>27</v>
      </c>
      <c r="M36" s="6">
        <v>0.2</v>
      </c>
      <c r="N36" s="6">
        <v>1</v>
      </c>
      <c r="O36" s="6">
        <v>0.5</v>
      </c>
      <c r="P36" s="6">
        <v>0</v>
      </c>
      <c r="Q36" s="6">
        <v>0.9</v>
      </c>
      <c r="R36" s="6"/>
      <c r="S36" s="6">
        <f>SUM(M36:Q36)</f>
        <v>2.6</v>
      </c>
      <c r="T36" s="6">
        <f>COUNTIFS($Y$2:$Y$63, Y36, $S$2:$S$63, "&gt;"&amp;S36) + 1</f>
        <v>51</v>
      </c>
      <c r="U36" s="6">
        <f>0.85*E36+T36*0.15</f>
        <v>35.700000000000003</v>
      </c>
      <c r="V36" s="6">
        <f>100.4-0.4*W36</f>
        <v>86.4</v>
      </c>
      <c r="W36" s="6">
        <f>COUNTIFS($Y$2:$Y$63, Y36, $U$2:$U$63, "&lt;"&amp;U36) + 1</f>
        <v>35</v>
      </c>
      <c r="X36" s="5">
        <v>62</v>
      </c>
      <c r="Y36" s="6" t="s">
        <v>339</v>
      </c>
      <c r="Z36" s="10"/>
    </row>
    <row r="37" spans="1:26">
      <c r="A37" s="5">
        <v>365</v>
      </c>
      <c r="B37" s="5">
        <v>1120232311</v>
      </c>
      <c r="C37" s="6" t="s">
        <v>374</v>
      </c>
      <c r="D37" s="6" t="str">
        <f>VLOOKUP([1]成绩单!B68,[1]Sheet1!$A:$K,4,0)</f>
        <v>精工2310</v>
      </c>
      <c r="E37" s="5">
        <v>38</v>
      </c>
      <c r="F37" s="7">
        <v>0.61290299999999998</v>
      </c>
      <c r="G37" s="8">
        <v>77.578900000000004</v>
      </c>
      <c r="H37" s="5">
        <v>64</v>
      </c>
      <c r="I37" s="9">
        <v>139.5</v>
      </c>
      <c r="J37" s="5">
        <v>1</v>
      </c>
      <c r="K37" s="5">
        <v>0</v>
      </c>
      <c r="L37" s="6" t="s">
        <v>27</v>
      </c>
      <c r="M37" s="6">
        <v>2.5</v>
      </c>
      <c r="N37" s="6">
        <v>1</v>
      </c>
      <c r="O37" s="6">
        <v>6.5</v>
      </c>
      <c r="P37" s="6">
        <v>2.9</v>
      </c>
      <c r="Q37" s="6">
        <v>1</v>
      </c>
      <c r="R37" s="6"/>
      <c r="S37" s="6">
        <f>SUM(M37:Q37)</f>
        <v>13.9</v>
      </c>
      <c r="T37" s="6">
        <f>COUNTIFS($Y$2:$Y$63, Y37, $S$2:$S$63, "&gt;"&amp;S37) + 1</f>
        <v>27</v>
      </c>
      <c r="U37" s="6">
        <f>0.85*E37+T37*0.15</f>
        <v>36.349999999999994</v>
      </c>
      <c r="V37" s="6">
        <f>100.4-0.4*W37</f>
        <v>86</v>
      </c>
      <c r="W37" s="6">
        <f>COUNTIFS($Y$2:$Y$63, Y37, $U$2:$U$63, "&lt;"&amp;U37) + 1</f>
        <v>36</v>
      </c>
      <c r="X37" s="5">
        <v>62</v>
      </c>
      <c r="Y37" s="6" t="s">
        <v>339</v>
      </c>
      <c r="Z37" s="10"/>
    </row>
    <row r="38" spans="1:26">
      <c r="A38" s="5">
        <v>366</v>
      </c>
      <c r="B38" s="5">
        <v>1120232295</v>
      </c>
      <c r="C38" s="6" t="s">
        <v>375</v>
      </c>
      <c r="D38" s="6" t="str">
        <f>VLOOKUP([1]成绩单!B65,[1]Sheet1!$A:$K,4,0)</f>
        <v>精工2312</v>
      </c>
      <c r="E38" s="5">
        <v>35</v>
      </c>
      <c r="F38" s="7">
        <v>0.56451600000000002</v>
      </c>
      <c r="G38" s="8">
        <v>78.0351</v>
      </c>
      <c r="H38" s="5">
        <v>66</v>
      </c>
      <c r="I38" s="9">
        <v>142.5</v>
      </c>
      <c r="J38" s="5">
        <v>0</v>
      </c>
      <c r="K38" s="5">
        <v>0</v>
      </c>
      <c r="L38" s="6" t="s">
        <v>27</v>
      </c>
      <c r="M38" s="6">
        <v>0.6</v>
      </c>
      <c r="N38" s="6">
        <v>0.2</v>
      </c>
      <c r="O38" s="6">
        <v>0.8</v>
      </c>
      <c r="P38" s="6">
        <v>1</v>
      </c>
      <c r="Q38" s="6">
        <v>0</v>
      </c>
      <c r="R38" s="6"/>
      <c r="S38" s="6">
        <f>SUM(M38:Q38)</f>
        <v>2.6</v>
      </c>
      <c r="T38" s="6">
        <f>COUNTIFS($Y$2:$Y$63, Y38, $S$2:$S$63, "&gt;"&amp;S38) + 1</f>
        <v>51</v>
      </c>
      <c r="U38" s="6">
        <f>0.85*E38+T38*0.15</f>
        <v>37.4</v>
      </c>
      <c r="V38" s="6">
        <f>100.4-0.4*W38</f>
        <v>85.600000000000009</v>
      </c>
      <c r="W38" s="6">
        <f>COUNTIFS($Y$2:$Y$63, Y38, $U$2:$U$63, "&lt;"&amp;U38) + 1</f>
        <v>37</v>
      </c>
      <c r="X38" s="5">
        <v>62</v>
      </c>
      <c r="Y38" s="6" t="s">
        <v>339</v>
      </c>
      <c r="Z38" s="10"/>
    </row>
    <row r="39" spans="1:26">
      <c r="A39" s="5">
        <v>367</v>
      </c>
      <c r="B39" s="5">
        <v>1120231769</v>
      </c>
      <c r="C39" s="6" t="s">
        <v>376</v>
      </c>
      <c r="D39" s="6" t="str">
        <f>VLOOKUP([1]成绩单!B67,[1]Sheet1!$A:$K,4,0)</f>
        <v>精工2310</v>
      </c>
      <c r="E39" s="5">
        <v>37</v>
      </c>
      <c r="F39" s="7">
        <v>0.59677400000000003</v>
      </c>
      <c r="G39" s="8">
        <v>77.799300000000002</v>
      </c>
      <c r="H39" s="5">
        <v>67</v>
      </c>
      <c r="I39" s="9">
        <v>144.5</v>
      </c>
      <c r="J39" s="5">
        <v>0</v>
      </c>
      <c r="K39" s="5">
        <v>0</v>
      </c>
      <c r="L39" s="6" t="s">
        <v>27</v>
      </c>
      <c r="M39" s="6">
        <v>0.5</v>
      </c>
      <c r="N39" s="6">
        <v>0.4</v>
      </c>
      <c r="O39" s="6">
        <v>1.5</v>
      </c>
      <c r="P39" s="6">
        <v>0.5</v>
      </c>
      <c r="Q39" s="6">
        <v>0</v>
      </c>
      <c r="R39" s="6"/>
      <c r="S39" s="6">
        <f>SUM(M39:Q39)</f>
        <v>2.9</v>
      </c>
      <c r="T39" s="6">
        <f>COUNTIFS($Y$2:$Y$63, Y39, $S$2:$S$63, "&gt;"&amp;S39) + 1</f>
        <v>49</v>
      </c>
      <c r="U39" s="6">
        <f>0.85*E39+T39*0.15</f>
        <v>38.799999999999997</v>
      </c>
      <c r="V39" s="6">
        <f>100.4-0.4*W39</f>
        <v>85.2</v>
      </c>
      <c r="W39" s="6">
        <f>COUNTIFS($Y$2:$Y$63, Y39, $U$2:$U$63, "&lt;"&amp;U39) + 1</f>
        <v>38</v>
      </c>
      <c r="X39" s="5">
        <v>62</v>
      </c>
      <c r="Y39" s="6" t="s">
        <v>339</v>
      </c>
      <c r="Z39" s="10"/>
    </row>
    <row r="40" spans="1:26">
      <c r="A40" s="5">
        <v>368</v>
      </c>
      <c r="B40" s="5">
        <v>1120232623</v>
      </c>
      <c r="C40" s="6" t="s">
        <v>377</v>
      </c>
      <c r="D40" s="6" t="str">
        <f>VLOOKUP([1]成绩单!B71,[1]Sheet1!$A:$K,4,0)</f>
        <v>精工2313</v>
      </c>
      <c r="E40" s="5">
        <v>41</v>
      </c>
      <c r="F40" s="7">
        <v>0.66129000000000004</v>
      </c>
      <c r="G40" s="8">
        <v>76.351600000000005</v>
      </c>
      <c r="H40" s="5">
        <v>66</v>
      </c>
      <c r="I40" s="9">
        <v>141.5</v>
      </c>
      <c r="J40" s="5">
        <v>1</v>
      </c>
      <c r="K40" s="5">
        <v>1</v>
      </c>
      <c r="L40" s="6" t="s">
        <v>27</v>
      </c>
      <c r="M40" s="6">
        <v>3</v>
      </c>
      <c r="N40" s="6">
        <v>1.3</v>
      </c>
      <c r="O40" s="6">
        <v>1.5</v>
      </c>
      <c r="P40" s="6">
        <v>0</v>
      </c>
      <c r="Q40" s="6">
        <v>1</v>
      </c>
      <c r="R40" s="6"/>
      <c r="S40" s="6">
        <f>SUM(M40:Q40)</f>
        <v>6.8</v>
      </c>
      <c r="T40" s="6">
        <f>COUNTIFS($Y$2:$Y$63, Y40, $S$2:$S$63, "&gt;"&amp;S40) + 1</f>
        <v>37</v>
      </c>
      <c r="U40" s="6">
        <f>0.85*E40+T40*0.15</f>
        <v>40.4</v>
      </c>
      <c r="V40" s="6">
        <f>100.4-0.4*W40</f>
        <v>84.800000000000011</v>
      </c>
      <c r="W40" s="6">
        <f>COUNTIFS($Y$2:$Y$63, Y40, $U$2:$U$63, "&lt;"&amp;U40) + 1</f>
        <v>39</v>
      </c>
      <c r="X40" s="5">
        <v>62</v>
      </c>
      <c r="Y40" s="6" t="s">
        <v>339</v>
      </c>
      <c r="Z40" s="10"/>
    </row>
    <row r="41" spans="1:26">
      <c r="A41" s="5">
        <v>369</v>
      </c>
      <c r="B41" s="5">
        <v>1120231646</v>
      </c>
      <c r="C41" s="6" t="s">
        <v>378</v>
      </c>
      <c r="D41" s="6" t="str">
        <f>VLOOKUP([1]成绩单!B70,[1]Sheet1!$A:$K,4,0)</f>
        <v>精工2310</v>
      </c>
      <c r="E41" s="5">
        <v>40</v>
      </c>
      <c r="F41" s="7">
        <v>0.64516099999999998</v>
      </c>
      <c r="G41" s="8">
        <v>76.529600000000002</v>
      </c>
      <c r="H41" s="5">
        <v>67</v>
      </c>
      <c r="I41" s="9">
        <v>143.5</v>
      </c>
      <c r="J41" s="5">
        <v>1</v>
      </c>
      <c r="K41" s="5">
        <v>1</v>
      </c>
      <c r="L41" s="6" t="s">
        <v>27</v>
      </c>
      <c r="M41" s="6">
        <v>1.8</v>
      </c>
      <c r="N41" s="6">
        <v>1</v>
      </c>
      <c r="O41" s="6">
        <v>0.9</v>
      </c>
      <c r="P41" s="6">
        <v>0.6</v>
      </c>
      <c r="Q41" s="6">
        <v>0</v>
      </c>
      <c r="R41" s="6"/>
      <c r="S41" s="6">
        <f>SUM(M41:Q41)</f>
        <v>4.3</v>
      </c>
      <c r="T41" s="6">
        <f>COUNTIFS($Y$2:$Y$63, Y41, $S$2:$S$63, "&gt;"&amp;S41) + 1</f>
        <v>44</v>
      </c>
      <c r="U41" s="6">
        <f>0.85*E41+T41*0.15</f>
        <v>40.6</v>
      </c>
      <c r="V41" s="6">
        <f>100.4-0.4*W41</f>
        <v>84.4</v>
      </c>
      <c r="W41" s="6">
        <f>COUNTIFS($Y$2:$Y$63, Y41, $U$2:$U$63, "&lt;"&amp;U41) + 1</f>
        <v>40</v>
      </c>
      <c r="X41" s="5">
        <v>62</v>
      </c>
      <c r="Y41" s="6" t="s">
        <v>339</v>
      </c>
      <c r="Z41" s="10"/>
    </row>
    <row r="42" spans="1:26">
      <c r="A42" s="5">
        <v>370</v>
      </c>
      <c r="B42" s="5">
        <v>1120230373</v>
      </c>
      <c r="C42" s="6" t="s">
        <v>379</v>
      </c>
      <c r="D42" s="6" t="str">
        <f>VLOOKUP([1]成绩单!B69,[1]Sheet1!$A:$K,4,0)</f>
        <v>精工2313</v>
      </c>
      <c r="E42" s="5">
        <v>39</v>
      </c>
      <c r="F42" s="7">
        <v>0.62903200000000004</v>
      </c>
      <c r="G42" s="8">
        <v>77.549499999999995</v>
      </c>
      <c r="H42" s="5">
        <v>65</v>
      </c>
      <c r="I42" s="9">
        <v>141.5</v>
      </c>
      <c r="J42" s="5">
        <v>0</v>
      </c>
      <c r="K42" s="5">
        <v>0</v>
      </c>
      <c r="L42" s="6" t="s">
        <v>27</v>
      </c>
      <c r="M42" s="6">
        <v>1.3</v>
      </c>
      <c r="N42" s="6">
        <v>1</v>
      </c>
      <c r="O42" s="6">
        <v>0</v>
      </c>
      <c r="P42" s="6">
        <v>0</v>
      </c>
      <c r="Q42" s="6">
        <v>0</v>
      </c>
      <c r="R42" s="6"/>
      <c r="S42" s="6">
        <f>SUM(M42:Q42)</f>
        <v>2.2999999999999998</v>
      </c>
      <c r="T42" s="6">
        <f>COUNTIFS($Y$2:$Y$63, Y42, $S$2:$S$63, "&gt;"&amp;S42) + 1</f>
        <v>53</v>
      </c>
      <c r="U42" s="6">
        <f>0.85*E42+T42*0.15</f>
        <v>41.099999999999994</v>
      </c>
      <c r="V42" s="6">
        <f>100.4-0.4*W42</f>
        <v>84</v>
      </c>
      <c r="W42" s="6">
        <f>COUNTIFS($Y$2:$Y$63, Y42, $U$2:$U$63, "&lt;"&amp;U42) + 1</f>
        <v>41</v>
      </c>
      <c r="X42" s="5">
        <v>62</v>
      </c>
      <c r="Y42" s="6" t="s">
        <v>339</v>
      </c>
      <c r="Z42" s="10"/>
    </row>
    <row r="43" spans="1:26">
      <c r="A43" s="5">
        <v>371</v>
      </c>
      <c r="B43" s="5">
        <v>1120231786</v>
      </c>
      <c r="C43" s="6" t="s">
        <v>380</v>
      </c>
      <c r="D43" s="6" t="str">
        <f>VLOOKUP([1]成绩单!B75,[1]Sheet1!$A:$K,4,0)</f>
        <v>精工2313</v>
      </c>
      <c r="E43" s="5">
        <v>45</v>
      </c>
      <c r="F43" s="7">
        <v>0.72580599999999995</v>
      </c>
      <c r="G43" s="8">
        <v>74.109300000000005</v>
      </c>
      <c r="H43" s="5">
        <v>72</v>
      </c>
      <c r="I43" s="5">
        <v>151</v>
      </c>
      <c r="J43" s="5">
        <v>2</v>
      </c>
      <c r="K43" s="5">
        <v>1</v>
      </c>
      <c r="L43" s="6" t="s">
        <v>27</v>
      </c>
      <c r="M43" s="6">
        <v>1.8</v>
      </c>
      <c r="N43" s="6">
        <v>1.75</v>
      </c>
      <c r="O43" s="6">
        <v>5.3</v>
      </c>
      <c r="P43" s="6">
        <v>6.8</v>
      </c>
      <c r="Q43" s="6">
        <v>1</v>
      </c>
      <c r="R43" s="6"/>
      <c r="S43" s="6">
        <f>SUM(M43:Q43)</f>
        <v>16.649999999999999</v>
      </c>
      <c r="T43" s="6">
        <f>COUNTIFS($Y$2:$Y$63, Y43, $S$2:$S$63, "&gt;"&amp;S43) + 1</f>
        <v>21</v>
      </c>
      <c r="U43" s="6">
        <f>0.85*E43+T43*0.15</f>
        <v>41.4</v>
      </c>
      <c r="V43" s="6">
        <f>100.4-0.4*W43</f>
        <v>83.600000000000009</v>
      </c>
      <c r="W43" s="6">
        <f>COUNTIFS($Y$2:$Y$63, Y43, $U$2:$U$63, "&lt;"&amp;U43) + 1</f>
        <v>42</v>
      </c>
      <c r="X43" s="5">
        <v>62</v>
      </c>
      <c r="Y43" s="6" t="s">
        <v>339</v>
      </c>
      <c r="Z43" s="10"/>
    </row>
    <row r="44" spans="1:26">
      <c r="A44" s="5">
        <v>372</v>
      </c>
      <c r="B44" s="5">
        <v>1120232291</v>
      </c>
      <c r="C44" s="6" t="s">
        <v>381</v>
      </c>
      <c r="D44" s="6" t="str">
        <f>VLOOKUP([1]成绩单!B73,[1]Sheet1!$A:$K,4,0)</f>
        <v>精工2312</v>
      </c>
      <c r="E44" s="5">
        <v>43</v>
      </c>
      <c r="F44" s="7">
        <v>0.69354800000000005</v>
      </c>
      <c r="G44" s="8">
        <v>75.378100000000003</v>
      </c>
      <c r="H44" s="5">
        <v>65</v>
      </c>
      <c r="I44" s="9">
        <v>141.5</v>
      </c>
      <c r="J44" s="5">
        <v>2</v>
      </c>
      <c r="K44" s="5">
        <v>1</v>
      </c>
      <c r="L44" s="6" t="s">
        <v>27</v>
      </c>
      <c r="M44" s="6">
        <v>1.9</v>
      </c>
      <c r="N44" s="6">
        <v>2</v>
      </c>
      <c r="O44" s="6">
        <v>1.45</v>
      </c>
      <c r="P44" s="6">
        <v>2.8</v>
      </c>
      <c r="Q44" s="6">
        <v>1.7</v>
      </c>
      <c r="R44" s="6"/>
      <c r="S44" s="6">
        <f>SUM(M44:Q44)</f>
        <v>9.8499999999999979</v>
      </c>
      <c r="T44" s="6">
        <f>COUNTIFS($Y$2:$Y$63, Y44, $S$2:$S$63, "&gt;"&amp;S44) + 1</f>
        <v>33</v>
      </c>
      <c r="U44" s="6">
        <f>0.85*E44+T44*0.15</f>
        <v>41.5</v>
      </c>
      <c r="V44" s="6">
        <f>100.4-0.4*W44</f>
        <v>83.2</v>
      </c>
      <c r="W44" s="6">
        <f>COUNTIFS($Y$2:$Y$63, Y44, $U$2:$U$63, "&lt;"&amp;U44) + 1</f>
        <v>43</v>
      </c>
      <c r="X44" s="5">
        <v>62</v>
      </c>
      <c r="Y44" s="6" t="s">
        <v>339</v>
      </c>
      <c r="Z44" s="10"/>
    </row>
    <row r="45" spans="1:26">
      <c r="A45" s="5">
        <v>373</v>
      </c>
      <c r="B45" s="5">
        <v>1120232624</v>
      </c>
      <c r="C45" s="6" t="s">
        <v>382</v>
      </c>
      <c r="D45" s="6" t="str">
        <f>VLOOKUP([1]成绩单!B77,[1]Sheet1!$A:$K,4,0)</f>
        <v>精工2310</v>
      </c>
      <c r="E45" s="5">
        <v>47</v>
      </c>
      <c r="F45" s="7">
        <v>0.75806499999999999</v>
      </c>
      <c r="G45" s="8">
        <v>72.826999999999998</v>
      </c>
      <c r="H45" s="5">
        <v>60</v>
      </c>
      <c r="I45" s="9">
        <v>131.5</v>
      </c>
      <c r="J45" s="5">
        <v>2</v>
      </c>
      <c r="K45" s="5">
        <v>0</v>
      </c>
      <c r="L45" s="6" t="s">
        <v>27</v>
      </c>
      <c r="M45" s="6">
        <v>3</v>
      </c>
      <c r="N45" s="6">
        <v>1</v>
      </c>
      <c r="O45" s="6">
        <v>4.5</v>
      </c>
      <c r="P45" s="6">
        <v>15.9</v>
      </c>
      <c r="Q45" s="6">
        <v>3.5</v>
      </c>
      <c r="R45" s="6"/>
      <c r="S45" s="6">
        <f>SUM(M45:Q45)</f>
        <v>27.9</v>
      </c>
      <c r="T45" s="6">
        <f>COUNTIFS($Y$2:$Y$63, Y45, $S$2:$S$63, "&gt;"&amp;S45) + 1</f>
        <v>12</v>
      </c>
      <c r="U45" s="6">
        <f>0.85*E45+T45*0.15</f>
        <v>41.749999999999993</v>
      </c>
      <c r="V45" s="6">
        <f>100.4-0.4*W45</f>
        <v>82.800000000000011</v>
      </c>
      <c r="W45" s="6">
        <f>COUNTIFS($Y$2:$Y$63, Y45, $U$2:$U$63, "&lt;"&amp;U45) + 1</f>
        <v>44</v>
      </c>
      <c r="X45" s="5">
        <v>62</v>
      </c>
      <c r="Y45" s="6" t="s">
        <v>339</v>
      </c>
      <c r="Z45" s="10"/>
    </row>
    <row r="46" spans="1:26">
      <c r="A46" s="5">
        <v>374</v>
      </c>
      <c r="B46" s="5">
        <v>1120231597</v>
      </c>
      <c r="C46" s="6" t="s">
        <v>383</v>
      </c>
      <c r="D46" s="6" t="str">
        <f>VLOOKUP([1]成绩单!B72,[1]Sheet1!$A:$K,4,0)</f>
        <v>精工2311</v>
      </c>
      <c r="E46" s="5">
        <v>42</v>
      </c>
      <c r="F46" s="7">
        <v>0.67741899999999999</v>
      </c>
      <c r="G46" s="8">
        <v>75.775300000000001</v>
      </c>
      <c r="H46" s="5">
        <v>66</v>
      </c>
      <c r="I46" s="9">
        <v>143.5</v>
      </c>
      <c r="J46" s="5">
        <v>1</v>
      </c>
      <c r="K46" s="5">
        <v>1</v>
      </c>
      <c r="L46" s="6" t="s">
        <v>27</v>
      </c>
      <c r="M46" s="6">
        <v>0</v>
      </c>
      <c r="N46" s="6">
        <v>1.45</v>
      </c>
      <c r="O46" s="6">
        <v>1</v>
      </c>
      <c r="P46" s="6">
        <v>1</v>
      </c>
      <c r="Q46" s="6">
        <v>0</v>
      </c>
      <c r="R46" s="6"/>
      <c r="S46" s="6">
        <f>SUM(M46:Q46)</f>
        <v>3.45</v>
      </c>
      <c r="T46" s="6">
        <f>COUNTIFS($Y$2:$Y$63, Y46, $S$2:$S$63, "&gt;"&amp;S46) + 1</f>
        <v>47</v>
      </c>
      <c r="U46" s="6">
        <f>0.85*E46+T46*0.15</f>
        <v>42.749999999999993</v>
      </c>
      <c r="V46" s="6">
        <f>100.4-0.4*W46</f>
        <v>82.4</v>
      </c>
      <c r="W46" s="6">
        <f>COUNTIFS($Y$2:$Y$63, Y46, $U$2:$U$63, "&lt;"&amp;U46) + 1</f>
        <v>45</v>
      </c>
      <c r="X46" s="5">
        <v>62</v>
      </c>
      <c r="Y46" s="6" t="s">
        <v>339</v>
      </c>
      <c r="Z46" s="10"/>
    </row>
    <row r="47" spans="1:26">
      <c r="A47" s="5">
        <v>375</v>
      </c>
      <c r="B47" s="5">
        <v>1120231519</v>
      </c>
      <c r="C47" s="6" t="s">
        <v>384</v>
      </c>
      <c r="D47" s="6" t="str">
        <f>VLOOKUP([1]成绩单!B76,[1]Sheet1!$A:$K,4,0)</f>
        <v>精工2311</v>
      </c>
      <c r="E47" s="5">
        <v>46</v>
      </c>
      <c r="F47" s="7">
        <v>0.74193500000000001</v>
      </c>
      <c r="G47" s="8">
        <v>73.270300000000006</v>
      </c>
      <c r="H47" s="5">
        <v>66</v>
      </c>
      <c r="I47" s="9">
        <v>141.5</v>
      </c>
      <c r="J47" s="5">
        <v>3</v>
      </c>
      <c r="K47" s="5">
        <v>2</v>
      </c>
      <c r="L47" s="6" t="s">
        <v>27</v>
      </c>
      <c r="M47" s="6">
        <v>2.5</v>
      </c>
      <c r="N47" s="6">
        <v>2</v>
      </c>
      <c r="O47" s="6">
        <v>0.3</v>
      </c>
      <c r="P47" s="6">
        <v>0</v>
      </c>
      <c r="Q47" s="6">
        <v>0</v>
      </c>
      <c r="R47" s="6"/>
      <c r="S47" s="6">
        <f>SUM(M47:Q47)</f>
        <v>4.8</v>
      </c>
      <c r="T47" s="6">
        <f>COUNTIFS($Y$2:$Y$63, Y47, $S$2:$S$63, "&gt;"&amp;S47) + 1</f>
        <v>42</v>
      </c>
      <c r="U47" s="6">
        <f>0.85*E47+T47*0.15</f>
        <v>45.4</v>
      </c>
      <c r="V47" s="6">
        <f>100.4-0.4*W47</f>
        <v>82</v>
      </c>
      <c r="W47" s="6">
        <f>COUNTIFS($Y$2:$Y$63, Y47, $U$2:$U$63, "&lt;"&amp;U47) + 1</f>
        <v>46</v>
      </c>
      <c r="X47" s="5">
        <v>62</v>
      </c>
      <c r="Y47" s="6" t="s">
        <v>339</v>
      </c>
      <c r="Z47" s="10"/>
    </row>
    <row r="48" spans="1:26">
      <c r="A48" s="5">
        <v>376</v>
      </c>
      <c r="B48" s="5">
        <v>1120230396</v>
      </c>
      <c r="C48" s="6" t="s">
        <v>385</v>
      </c>
      <c r="D48" s="6" t="str">
        <f>VLOOKUP([1]成绩单!B74,[1]Sheet1!$A:$K,4,0)</f>
        <v>精工2311</v>
      </c>
      <c r="E48" s="5">
        <v>44</v>
      </c>
      <c r="F48" s="7">
        <v>0.709677</v>
      </c>
      <c r="G48" s="8">
        <v>74.438199999999995</v>
      </c>
      <c r="H48" s="5">
        <v>63</v>
      </c>
      <c r="I48" s="9">
        <v>137.5</v>
      </c>
      <c r="J48" s="5">
        <v>1</v>
      </c>
      <c r="K48" s="5">
        <v>1</v>
      </c>
      <c r="L48" s="6" t="s">
        <v>27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/>
      <c r="S48" s="6">
        <f>SUM(M48:Q48)</f>
        <v>0</v>
      </c>
      <c r="T48" s="6">
        <f>COUNTIFS($Y$2:$Y$63, Y48, $S$2:$S$63, "&gt;"&amp;S48) + 1</f>
        <v>58</v>
      </c>
      <c r="U48" s="6">
        <f>0.85*E48+T48*0.15</f>
        <v>46.099999999999994</v>
      </c>
      <c r="V48" s="6">
        <f>100.4-0.4*W48</f>
        <v>81.600000000000009</v>
      </c>
      <c r="W48" s="6">
        <f>COUNTIFS($Y$2:$Y$63, Y48, $U$2:$U$63, "&lt;"&amp;U48) + 1</f>
        <v>47</v>
      </c>
      <c r="X48" s="5">
        <v>62</v>
      </c>
      <c r="Y48" s="6" t="s">
        <v>339</v>
      </c>
      <c r="Z48" s="10"/>
    </row>
    <row r="49" spans="1:26">
      <c r="A49" s="5">
        <v>377</v>
      </c>
      <c r="B49" s="12">
        <v>1120233388</v>
      </c>
      <c r="C49" s="13" t="s">
        <v>386</v>
      </c>
      <c r="D49" s="6" t="str">
        <f>VLOOKUP([1]成绩单!B80,[1]Sheet1!$A:$K,4,0)</f>
        <v>精工2311</v>
      </c>
      <c r="E49" s="12">
        <v>50</v>
      </c>
      <c r="F49" s="14">
        <v>0.80645199999999995</v>
      </c>
      <c r="G49" s="15">
        <v>70.706100000000006</v>
      </c>
      <c r="H49" s="12">
        <v>65</v>
      </c>
      <c r="I49" s="16">
        <v>139.5</v>
      </c>
      <c r="J49" s="12">
        <v>9</v>
      </c>
      <c r="K49" s="12">
        <v>2</v>
      </c>
      <c r="L49" s="13" t="s">
        <v>27</v>
      </c>
      <c r="M49" s="6">
        <v>4.7</v>
      </c>
      <c r="N49" s="6">
        <v>4.2</v>
      </c>
      <c r="O49" s="6">
        <v>4.2</v>
      </c>
      <c r="P49" s="6">
        <v>-0.5</v>
      </c>
      <c r="Q49" s="6">
        <v>0</v>
      </c>
      <c r="R49" s="13"/>
      <c r="S49" s="6">
        <f>SUM(M49:Q49)</f>
        <v>12.600000000000001</v>
      </c>
      <c r="T49" s="6">
        <f>COUNTIFS($Y$2:$Y$63, Y49, $S$2:$S$63, "&gt;"&amp;S49) + 1</f>
        <v>28</v>
      </c>
      <c r="U49" s="6">
        <f>0.85*E49+T49*0.15</f>
        <v>46.7</v>
      </c>
      <c r="V49" s="6">
        <f>100.4-0.4*W49</f>
        <v>81.2</v>
      </c>
      <c r="W49" s="6">
        <f>COUNTIFS($Y$2:$Y$63, Y49, $U$2:$U$63, "&lt;"&amp;U49) + 1</f>
        <v>48</v>
      </c>
      <c r="X49" s="12">
        <v>62</v>
      </c>
      <c r="Y49" s="13" t="s">
        <v>339</v>
      </c>
      <c r="Z49" s="17"/>
    </row>
    <row r="50" spans="1:26">
      <c r="A50" s="5">
        <v>378</v>
      </c>
      <c r="B50" s="5">
        <v>1120232219</v>
      </c>
      <c r="C50" s="6" t="s">
        <v>387</v>
      </c>
      <c r="D50" s="6" t="str">
        <f>VLOOKUP([1]成绩单!B78,[1]Sheet1!$A:$K,4,0)</f>
        <v>精工2311</v>
      </c>
      <c r="E50" s="5">
        <v>48</v>
      </c>
      <c r="F50" s="7">
        <v>0.77419400000000005</v>
      </c>
      <c r="G50" s="8">
        <v>72.1113</v>
      </c>
      <c r="H50" s="5">
        <v>65</v>
      </c>
      <c r="I50" s="9">
        <v>141.5</v>
      </c>
      <c r="J50" s="5">
        <v>4</v>
      </c>
      <c r="K50" s="5">
        <v>2</v>
      </c>
      <c r="L50" s="6" t="s">
        <v>27</v>
      </c>
      <c r="M50" s="6">
        <v>2.4</v>
      </c>
      <c r="N50" s="6">
        <v>1.2</v>
      </c>
      <c r="O50" s="6">
        <v>1.1000000000000001</v>
      </c>
      <c r="P50" s="6">
        <v>0.2</v>
      </c>
      <c r="Q50" s="6">
        <v>0.2</v>
      </c>
      <c r="R50" s="6"/>
      <c r="S50" s="6">
        <f>SUM(M50:Q50)</f>
        <v>5.0999999999999996</v>
      </c>
      <c r="T50" s="6">
        <f>COUNTIFS($Y$2:$Y$63, Y50, $S$2:$S$63, "&gt;"&amp;S50) + 1</f>
        <v>41</v>
      </c>
      <c r="U50" s="6">
        <f>0.85*E50+T50*0.15</f>
        <v>46.949999999999996</v>
      </c>
      <c r="V50" s="6">
        <f>100.4-0.4*W50</f>
        <v>80.800000000000011</v>
      </c>
      <c r="W50" s="6">
        <f>COUNTIFS($Y$2:$Y$63, Y50, $U$2:$U$63, "&lt;"&amp;U50) + 1</f>
        <v>49</v>
      </c>
      <c r="X50" s="5">
        <v>62</v>
      </c>
      <c r="Y50" s="6" t="s">
        <v>339</v>
      </c>
      <c r="Z50" s="10"/>
    </row>
    <row r="51" spans="1:26">
      <c r="A51" s="5">
        <v>379</v>
      </c>
      <c r="B51" s="5">
        <v>1120230714</v>
      </c>
      <c r="C51" s="6" t="s">
        <v>388</v>
      </c>
      <c r="D51" s="6" t="str">
        <f>VLOOKUP([1]成绩单!B79,[1]Sheet1!$A:$K,4,0)</f>
        <v>精工2313</v>
      </c>
      <c r="E51" s="5">
        <v>49</v>
      </c>
      <c r="F51" s="7">
        <v>0.790323</v>
      </c>
      <c r="G51" s="8">
        <v>71.25</v>
      </c>
      <c r="H51" s="5">
        <v>65</v>
      </c>
      <c r="I51" s="5">
        <v>141</v>
      </c>
      <c r="J51" s="5">
        <v>4</v>
      </c>
      <c r="K51" s="5">
        <v>2</v>
      </c>
      <c r="L51" s="6" t="s">
        <v>27</v>
      </c>
      <c r="M51" s="6">
        <v>0.4</v>
      </c>
      <c r="N51" s="6">
        <v>2.1</v>
      </c>
      <c r="O51" s="6">
        <v>1.5</v>
      </c>
      <c r="P51" s="6">
        <v>-0.5</v>
      </c>
      <c r="Q51" s="6">
        <v>0</v>
      </c>
      <c r="R51" s="6"/>
      <c r="S51" s="6">
        <f>SUM(M51:Q51)</f>
        <v>3.5</v>
      </c>
      <c r="T51" s="6">
        <f>COUNTIFS($Y$2:$Y$63, Y51, $S$2:$S$63, "&gt;"&amp;S51) + 1</f>
        <v>46</v>
      </c>
      <c r="U51" s="6">
        <f>0.85*E51+T51*0.15</f>
        <v>48.55</v>
      </c>
      <c r="V51" s="6">
        <f>100.4-0.4*W51</f>
        <v>80.400000000000006</v>
      </c>
      <c r="W51" s="6">
        <f>COUNTIFS($Y$2:$Y$63, Y51, $U$2:$U$63, "&lt;"&amp;U51) + 1</f>
        <v>50</v>
      </c>
      <c r="X51" s="5">
        <v>62</v>
      </c>
      <c r="Y51" s="6" t="s">
        <v>339</v>
      </c>
      <c r="Z51" s="10"/>
    </row>
    <row r="52" spans="1:26">
      <c r="A52" s="5">
        <v>380</v>
      </c>
      <c r="B52" s="5">
        <v>1120231634</v>
      </c>
      <c r="C52" s="6" t="s">
        <v>389</v>
      </c>
      <c r="D52" s="6" t="str">
        <f>VLOOKUP([1]成绩单!B82,[1]Sheet1!$A:$K,4,0)</f>
        <v>精工2311</v>
      </c>
      <c r="E52" s="5">
        <v>52</v>
      </c>
      <c r="F52" s="7">
        <v>0.83870999999999996</v>
      </c>
      <c r="G52" s="8">
        <v>67.974900000000005</v>
      </c>
      <c r="H52" s="5">
        <v>69</v>
      </c>
      <c r="I52" s="9">
        <v>149.5</v>
      </c>
      <c r="J52" s="5">
        <v>7</v>
      </c>
      <c r="K52" s="5">
        <v>4</v>
      </c>
      <c r="L52" s="6" t="s">
        <v>27</v>
      </c>
      <c r="M52" s="6">
        <v>2.4</v>
      </c>
      <c r="N52" s="6">
        <v>1.25</v>
      </c>
      <c r="O52" s="6">
        <v>0</v>
      </c>
      <c r="P52" s="6">
        <v>0</v>
      </c>
      <c r="Q52" s="6">
        <v>0</v>
      </c>
      <c r="R52" s="6"/>
      <c r="S52" s="6">
        <f>SUM(M52:Q52)</f>
        <v>3.65</v>
      </c>
      <c r="T52" s="6">
        <f>COUNTIFS($Y$2:$Y$63, Y52, $S$2:$S$63, "&gt;"&amp;S52) + 1</f>
        <v>45</v>
      </c>
      <c r="U52" s="6">
        <f>0.85*E52+T52*0.15</f>
        <v>50.949999999999996</v>
      </c>
      <c r="V52" s="6">
        <f>100.4-0.4*W52</f>
        <v>80</v>
      </c>
      <c r="W52" s="6">
        <f>COUNTIFS($Y$2:$Y$63, Y52, $U$2:$U$63, "&lt;"&amp;U52) + 1</f>
        <v>51</v>
      </c>
      <c r="X52" s="5">
        <v>62</v>
      </c>
      <c r="Y52" s="6" t="s">
        <v>339</v>
      </c>
      <c r="Z52" s="10"/>
    </row>
    <row r="53" spans="1:26">
      <c r="A53" s="5">
        <v>381</v>
      </c>
      <c r="B53" s="5">
        <v>1120232319</v>
      </c>
      <c r="C53" s="6" t="s">
        <v>390</v>
      </c>
      <c r="D53" s="6" t="str">
        <f>VLOOKUP([1]成绩单!B85,[1]Sheet1!$A:$K,4,0)</f>
        <v>精工2312</v>
      </c>
      <c r="E53" s="5">
        <v>55</v>
      </c>
      <c r="F53" s="7">
        <v>0.88709700000000002</v>
      </c>
      <c r="G53" s="8">
        <v>66.087100000000007</v>
      </c>
      <c r="H53" s="5">
        <v>66</v>
      </c>
      <c r="I53" s="9">
        <v>143.5</v>
      </c>
      <c r="J53" s="5">
        <v>6</v>
      </c>
      <c r="K53" s="5">
        <v>3</v>
      </c>
      <c r="L53" s="6" t="s">
        <v>27</v>
      </c>
      <c r="M53" s="6">
        <v>0.4</v>
      </c>
      <c r="N53" s="6">
        <v>0.9</v>
      </c>
      <c r="O53" s="6">
        <v>1</v>
      </c>
      <c r="P53" s="6">
        <v>8.1999999999999993</v>
      </c>
      <c r="Q53" s="6">
        <v>0.5</v>
      </c>
      <c r="R53" s="6"/>
      <c r="S53" s="6">
        <f>SUM(M53:Q53)</f>
        <v>11</v>
      </c>
      <c r="T53" s="6">
        <f>COUNTIFS($Y$2:$Y$63, Y53, $S$2:$S$63, "&gt;"&amp;S53) + 1</f>
        <v>30</v>
      </c>
      <c r="U53" s="6">
        <f>0.85*E53+T53*0.15</f>
        <v>51.25</v>
      </c>
      <c r="V53" s="6">
        <f>100.4-0.4*W53</f>
        <v>79.600000000000009</v>
      </c>
      <c r="W53" s="6">
        <f>COUNTIFS($Y$2:$Y$63, Y53, $U$2:$U$63, "&lt;"&amp;U53) + 1</f>
        <v>52</v>
      </c>
      <c r="X53" s="5">
        <v>62</v>
      </c>
      <c r="Y53" s="6" t="s">
        <v>339</v>
      </c>
      <c r="Z53" s="10"/>
    </row>
    <row r="54" spans="1:26">
      <c r="A54" s="5">
        <v>382</v>
      </c>
      <c r="B54" s="5">
        <v>1120232202</v>
      </c>
      <c r="C54" s="6" t="s">
        <v>391</v>
      </c>
      <c r="D54" s="6" t="str">
        <f>VLOOKUP([1]成绩单!B87,[1]Sheet1!$A:$K,4,0)</f>
        <v>精工2313</v>
      </c>
      <c r="E54" s="5">
        <v>57</v>
      </c>
      <c r="F54" s="7">
        <v>0.91935500000000003</v>
      </c>
      <c r="G54" s="8">
        <v>63.9223</v>
      </c>
      <c r="H54" s="5">
        <v>65</v>
      </c>
      <c r="I54" s="9">
        <v>141.5</v>
      </c>
      <c r="J54" s="5">
        <v>6</v>
      </c>
      <c r="K54" s="5">
        <v>4</v>
      </c>
      <c r="L54" s="6" t="s">
        <v>96</v>
      </c>
      <c r="M54" s="6">
        <v>2.2999999999999998</v>
      </c>
      <c r="N54" s="6">
        <v>1</v>
      </c>
      <c r="O54" s="6">
        <v>6.3</v>
      </c>
      <c r="P54" s="6">
        <v>5</v>
      </c>
      <c r="Q54" s="6">
        <v>0</v>
      </c>
      <c r="R54" s="6"/>
      <c r="S54" s="6">
        <f>SUM(M54:Q54)</f>
        <v>14.6</v>
      </c>
      <c r="T54" s="6">
        <f>COUNTIFS($Y$2:$Y$63, Y54, $S$2:$S$63, "&gt;"&amp;S54) + 1</f>
        <v>24</v>
      </c>
      <c r="U54" s="6">
        <f>0.85*E54+T54*0.15</f>
        <v>52.05</v>
      </c>
      <c r="V54" s="6">
        <f>100.4-0.4*W54</f>
        <v>79.2</v>
      </c>
      <c r="W54" s="6">
        <f>COUNTIFS($Y$2:$Y$63, Y54, $U$2:$U$63, "&lt;"&amp;U54) + 1</f>
        <v>53</v>
      </c>
      <c r="X54" s="5">
        <v>62</v>
      </c>
      <c r="Y54" s="6" t="s">
        <v>339</v>
      </c>
      <c r="Z54" s="10"/>
    </row>
    <row r="55" spans="1:26">
      <c r="A55" s="5">
        <v>383</v>
      </c>
      <c r="B55" s="5">
        <v>1120232499</v>
      </c>
      <c r="C55" s="6" t="s">
        <v>392</v>
      </c>
      <c r="D55" s="6" t="str">
        <f>VLOOKUP([1]成绩单!B81,[1]Sheet1!$A:$K,4,0)</f>
        <v>精工2312</v>
      </c>
      <c r="E55" s="5">
        <v>51</v>
      </c>
      <c r="F55" s="7">
        <v>0.82258100000000001</v>
      </c>
      <c r="G55" s="8">
        <v>69.898600000000002</v>
      </c>
      <c r="H55" s="5">
        <v>64</v>
      </c>
      <c r="I55" s="5">
        <v>138</v>
      </c>
      <c r="J55" s="5">
        <v>6</v>
      </c>
      <c r="K55" s="5">
        <v>4</v>
      </c>
      <c r="L55" s="6" t="s">
        <v>27</v>
      </c>
      <c r="M55" s="6">
        <v>0.2</v>
      </c>
      <c r="N55" s="6">
        <v>0.2</v>
      </c>
      <c r="O55" s="6">
        <v>0.2</v>
      </c>
      <c r="P55" s="6">
        <v>-1.5</v>
      </c>
      <c r="Q55" s="6">
        <v>0</v>
      </c>
      <c r="R55" s="6"/>
      <c r="S55" s="6">
        <f>SUM(M55:Q55)</f>
        <v>-0.89999999999999991</v>
      </c>
      <c r="T55" s="6">
        <f>COUNTIFS($Y$2:$Y$63, Y55, $S$2:$S$63, "&gt;"&amp;S55) + 1</f>
        <v>62</v>
      </c>
      <c r="U55" s="6">
        <f>0.85*E55+T55*0.15</f>
        <v>52.65</v>
      </c>
      <c r="V55" s="6">
        <f>100.4-0.4*W55</f>
        <v>78.800000000000011</v>
      </c>
      <c r="W55" s="6">
        <f>COUNTIFS($Y$2:$Y$63, Y55, $U$2:$U$63, "&lt;"&amp;U55) + 1</f>
        <v>54</v>
      </c>
      <c r="X55" s="5">
        <v>62</v>
      </c>
      <c r="Y55" s="6" t="s">
        <v>339</v>
      </c>
      <c r="Z55" s="10"/>
    </row>
    <row r="56" spans="1:26">
      <c r="A56" s="5">
        <v>384</v>
      </c>
      <c r="B56" s="5">
        <v>1120230441</v>
      </c>
      <c r="C56" s="6" t="s">
        <v>393</v>
      </c>
      <c r="D56" s="6" t="str">
        <f>VLOOKUP([1]成绩单!B83,[1]Sheet1!$A:$K,4,0)</f>
        <v>精工2312</v>
      </c>
      <c r="E56" s="5">
        <v>53</v>
      </c>
      <c r="F56" s="7">
        <v>0.85483900000000002</v>
      </c>
      <c r="G56" s="8">
        <v>67.728499999999997</v>
      </c>
      <c r="H56" s="5">
        <v>67</v>
      </c>
      <c r="I56" s="9">
        <v>145.5</v>
      </c>
      <c r="J56" s="5">
        <v>6</v>
      </c>
      <c r="K56" s="5">
        <v>4</v>
      </c>
      <c r="L56" s="6" t="s">
        <v>96</v>
      </c>
      <c r="M56" s="6">
        <v>0.75</v>
      </c>
      <c r="N56" s="6">
        <v>0.45</v>
      </c>
      <c r="O56" s="6">
        <v>0.5</v>
      </c>
      <c r="P56" s="6">
        <v>-0.5</v>
      </c>
      <c r="Q56" s="6">
        <v>0</v>
      </c>
      <c r="R56" s="6"/>
      <c r="S56" s="6">
        <f>SUM(M56:Q56)</f>
        <v>1.2</v>
      </c>
      <c r="T56" s="6">
        <f>COUNTIFS($Y$2:$Y$63, Y56, $S$2:$S$63, "&gt;"&amp;S56) + 1</f>
        <v>56</v>
      </c>
      <c r="U56" s="6">
        <f>0.85*E56+T56*0.15</f>
        <v>53.449999999999996</v>
      </c>
      <c r="V56" s="6">
        <f>100.4-0.4*W56</f>
        <v>78.400000000000006</v>
      </c>
      <c r="W56" s="6">
        <f>COUNTIFS($Y$2:$Y$63, Y56, $U$2:$U$63, "&lt;"&amp;U56) + 1</f>
        <v>55</v>
      </c>
      <c r="X56" s="5">
        <v>62</v>
      </c>
      <c r="Y56" s="6" t="s">
        <v>339</v>
      </c>
      <c r="Z56" s="10"/>
    </row>
    <row r="57" spans="1:26">
      <c r="A57" s="5">
        <v>385</v>
      </c>
      <c r="B57" s="5">
        <v>1120232493</v>
      </c>
      <c r="C57" s="6" t="s">
        <v>394</v>
      </c>
      <c r="D57" s="6" t="str">
        <f>VLOOKUP([1]成绩单!B90,[1]Sheet1!$A:$K,4,0)</f>
        <v>精工2312</v>
      </c>
      <c r="E57" s="5">
        <v>60</v>
      </c>
      <c r="F57" s="7">
        <v>0.96774199999999999</v>
      </c>
      <c r="G57" s="8">
        <v>58.452100000000002</v>
      </c>
      <c r="H57" s="5">
        <v>66</v>
      </c>
      <c r="I57" s="5">
        <v>141</v>
      </c>
      <c r="J57" s="5">
        <v>14</v>
      </c>
      <c r="K57" s="5">
        <v>4</v>
      </c>
      <c r="L57" s="6" t="s">
        <v>27</v>
      </c>
      <c r="M57" s="6">
        <v>3.8</v>
      </c>
      <c r="N57" s="6">
        <v>2.5</v>
      </c>
      <c r="O57" s="6">
        <v>1</v>
      </c>
      <c r="P57" s="6">
        <v>5</v>
      </c>
      <c r="Q57" s="6">
        <v>3</v>
      </c>
      <c r="R57" s="6"/>
      <c r="S57" s="6">
        <f>SUM(M57:Q57)</f>
        <v>15.3</v>
      </c>
      <c r="T57" s="6">
        <f>COUNTIFS($Y$2:$Y$63, Y57, $S$2:$S$63, "&gt;"&amp;S57) + 1</f>
        <v>23</v>
      </c>
      <c r="U57" s="6">
        <f>0.85*E57+T57*0.15</f>
        <v>54.45</v>
      </c>
      <c r="V57" s="6">
        <f>100.4-0.4*W57</f>
        <v>78</v>
      </c>
      <c r="W57" s="6">
        <f>COUNTIFS($Y$2:$Y$63, Y57, $U$2:$U$63, "&lt;"&amp;U57) + 1</f>
        <v>56</v>
      </c>
      <c r="X57" s="5">
        <v>62</v>
      </c>
      <c r="Y57" s="6" t="s">
        <v>339</v>
      </c>
      <c r="Z57" s="10"/>
    </row>
    <row r="58" spans="1:26">
      <c r="A58" s="5">
        <v>386</v>
      </c>
      <c r="B58" s="5">
        <v>1120233711</v>
      </c>
      <c r="C58" s="6" t="s">
        <v>395</v>
      </c>
      <c r="D58" s="6" t="str">
        <f>VLOOKUP([1]成绩单!B84,[1]Sheet1!$A:$K,4,0)</f>
        <v>精工2313</v>
      </c>
      <c r="E58" s="5">
        <v>54</v>
      </c>
      <c r="F58" s="7">
        <v>0.87096799999999996</v>
      </c>
      <c r="G58" s="8">
        <v>67.296099999999996</v>
      </c>
      <c r="H58" s="5">
        <v>66</v>
      </c>
      <c r="I58" s="5">
        <v>141</v>
      </c>
      <c r="J58" s="5">
        <v>6</v>
      </c>
      <c r="K58" s="5">
        <v>5</v>
      </c>
      <c r="L58" s="6" t="s">
        <v>27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/>
      <c r="S58" s="6">
        <f>SUM(M58:Q58)</f>
        <v>0</v>
      </c>
      <c r="T58" s="6">
        <f>COUNTIFS($Y$2:$Y$63, Y58, $S$2:$S$63, "&gt;"&amp;S58) + 1</f>
        <v>58</v>
      </c>
      <c r="U58" s="6">
        <f>0.85*E58+T58*0.15</f>
        <v>54.599999999999994</v>
      </c>
      <c r="V58" s="6">
        <f>100.4-0.4*W58</f>
        <v>77.600000000000009</v>
      </c>
      <c r="W58" s="6">
        <f>COUNTIFS($Y$2:$Y$63, Y58, $U$2:$U$63, "&lt;"&amp;U58) + 1</f>
        <v>57</v>
      </c>
      <c r="X58" s="5">
        <v>62</v>
      </c>
      <c r="Y58" s="6" t="s">
        <v>339</v>
      </c>
      <c r="Z58" s="10"/>
    </row>
    <row r="59" spans="1:26">
      <c r="A59" s="5">
        <v>387</v>
      </c>
      <c r="B59" s="5">
        <v>1120232886</v>
      </c>
      <c r="C59" s="6" t="s">
        <v>396</v>
      </c>
      <c r="D59" s="6" t="str">
        <f>VLOOKUP([1]成绩单!B89,[1]Sheet1!$A:$K,4,0)</f>
        <v>精工2310</v>
      </c>
      <c r="E59" s="5">
        <v>59</v>
      </c>
      <c r="F59" s="7">
        <v>0.95161300000000004</v>
      </c>
      <c r="G59" s="8">
        <v>60.549799999999998</v>
      </c>
      <c r="H59" s="5">
        <v>61</v>
      </c>
      <c r="I59" s="9">
        <v>135.5</v>
      </c>
      <c r="J59" s="5">
        <v>11</v>
      </c>
      <c r="K59" s="5">
        <v>8</v>
      </c>
      <c r="L59" s="6" t="s">
        <v>27</v>
      </c>
      <c r="M59" s="6">
        <v>1.5</v>
      </c>
      <c r="N59" s="6">
        <v>1</v>
      </c>
      <c r="O59" s="6">
        <v>2.5</v>
      </c>
      <c r="P59" s="6">
        <v>1.5</v>
      </c>
      <c r="Q59" s="6">
        <v>2</v>
      </c>
      <c r="R59" s="6"/>
      <c r="S59" s="6">
        <f>SUM(M59:Q59)</f>
        <v>8.5</v>
      </c>
      <c r="T59" s="6">
        <f>COUNTIFS($Y$2:$Y$63, Y59, $S$2:$S$63, "&gt;"&amp;S59) + 1</f>
        <v>35</v>
      </c>
      <c r="U59" s="6">
        <f>0.85*E59+T59*0.15</f>
        <v>55.4</v>
      </c>
      <c r="V59" s="6">
        <f>100.4-0.4*W59</f>
        <v>77.2</v>
      </c>
      <c r="W59" s="6">
        <f>COUNTIFS($Y$2:$Y$63, Y59, $U$2:$U$63, "&lt;"&amp;U59) + 1</f>
        <v>58</v>
      </c>
      <c r="X59" s="5">
        <v>62</v>
      </c>
      <c r="Y59" s="6" t="s">
        <v>339</v>
      </c>
      <c r="Z59" s="10"/>
    </row>
    <row r="60" spans="1:26">
      <c r="A60" s="5">
        <v>388</v>
      </c>
      <c r="B60" s="5">
        <v>1120230336</v>
      </c>
      <c r="C60" s="6" t="s">
        <v>397</v>
      </c>
      <c r="D60" s="6" t="str">
        <f>VLOOKUP([1]成绩单!B86,[1]Sheet1!$A:$K,4,0)</f>
        <v>精工2313</v>
      </c>
      <c r="E60" s="5">
        <v>56</v>
      </c>
      <c r="F60" s="7">
        <v>0.90322599999999997</v>
      </c>
      <c r="G60" s="8">
        <v>65.546099999999996</v>
      </c>
      <c r="H60" s="5">
        <v>65</v>
      </c>
      <c r="I60" s="5">
        <v>141</v>
      </c>
      <c r="J60" s="5">
        <v>8</v>
      </c>
      <c r="K60" s="5">
        <v>2</v>
      </c>
      <c r="L60" s="6" t="s">
        <v>27</v>
      </c>
      <c r="M60" s="6">
        <v>1.2</v>
      </c>
      <c r="N60" s="6">
        <v>0.75</v>
      </c>
      <c r="O60" s="6">
        <v>0.5</v>
      </c>
      <c r="P60" s="6">
        <v>-1</v>
      </c>
      <c r="Q60" s="6">
        <v>0</v>
      </c>
      <c r="R60" s="6"/>
      <c r="S60" s="6">
        <f>SUM(M60:Q60)</f>
        <v>1.4500000000000002</v>
      </c>
      <c r="T60" s="6">
        <f>COUNTIFS($Y$2:$Y$63, Y60, $S$2:$S$63, "&gt;"&amp;S60) + 1</f>
        <v>55</v>
      </c>
      <c r="U60" s="6">
        <f>0.85*E60+T60*0.15</f>
        <v>55.85</v>
      </c>
      <c r="V60" s="6">
        <f>100.4-0.4*W60</f>
        <v>76.800000000000011</v>
      </c>
      <c r="W60" s="6">
        <f>COUNTIFS($Y$2:$Y$63, Y60, $U$2:$U$63, "&lt;"&amp;U60) + 1</f>
        <v>59</v>
      </c>
      <c r="X60" s="5">
        <v>62</v>
      </c>
      <c r="Y60" s="6" t="s">
        <v>339</v>
      </c>
      <c r="Z60" s="10"/>
    </row>
    <row r="61" spans="1:26">
      <c r="A61" s="5">
        <v>389</v>
      </c>
      <c r="B61" s="5">
        <v>1120232207</v>
      </c>
      <c r="C61" s="6" t="s">
        <v>398</v>
      </c>
      <c r="D61" s="6" t="str">
        <f>VLOOKUP([1]成绩单!B88,[1]Sheet1!$A:$K,4,0)</f>
        <v>精工2312</v>
      </c>
      <c r="E61" s="5">
        <v>58</v>
      </c>
      <c r="F61" s="7">
        <v>0.93548399999999998</v>
      </c>
      <c r="G61" s="8">
        <v>62.463500000000003</v>
      </c>
      <c r="H61" s="5">
        <v>68</v>
      </c>
      <c r="I61" s="5">
        <v>144</v>
      </c>
      <c r="J61" s="5">
        <v>10</v>
      </c>
      <c r="K61" s="5">
        <v>6</v>
      </c>
      <c r="L61" s="6" t="s">
        <v>27</v>
      </c>
      <c r="M61" s="6">
        <v>0.75</v>
      </c>
      <c r="N61" s="6">
        <v>0.25</v>
      </c>
      <c r="O61" s="6">
        <v>1</v>
      </c>
      <c r="P61" s="6">
        <v>0</v>
      </c>
      <c r="Q61" s="6">
        <v>0</v>
      </c>
      <c r="R61" s="6"/>
      <c r="S61" s="6">
        <f>SUM(M61:Q61)</f>
        <v>2</v>
      </c>
      <c r="T61" s="6">
        <f>COUNTIFS($Y$2:$Y$63, Y61, $S$2:$S$63, "&gt;"&amp;S61) + 1</f>
        <v>54</v>
      </c>
      <c r="U61" s="6">
        <f>0.85*E61+T61*0.15</f>
        <v>57.4</v>
      </c>
      <c r="V61" s="6">
        <f>100.4-0.4*W61</f>
        <v>76.400000000000006</v>
      </c>
      <c r="W61" s="6">
        <f>COUNTIFS($Y$2:$Y$63, Y61, $U$2:$U$63, "&lt;"&amp;U61) + 1</f>
        <v>60</v>
      </c>
      <c r="X61" s="5">
        <v>62</v>
      </c>
      <c r="Y61" s="6" t="s">
        <v>339</v>
      </c>
      <c r="Z61" s="10"/>
    </row>
    <row r="62" spans="1:26">
      <c r="A62" s="5">
        <v>390</v>
      </c>
      <c r="B62" s="5">
        <v>1120233575</v>
      </c>
      <c r="C62" s="6" t="s">
        <v>399</v>
      </c>
      <c r="D62" s="6" t="str">
        <f>VLOOKUP([1]成绩单!B91,[1]Sheet1!$A:$K,4,0)</f>
        <v>精工2313</v>
      </c>
      <c r="E62" s="5">
        <v>61</v>
      </c>
      <c r="F62" s="7">
        <v>0.98387100000000005</v>
      </c>
      <c r="G62" s="8">
        <v>56.403199999999998</v>
      </c>
      <c r="H62" s="5">
        <v>65</v>
      </c>
      <c r="I62" s="9">
        <v>139.5</v>
      </c>
      <c r="J62" s="5">
        <v>12</v>
      </c>
      <c r="K62" s="5">
        <v>9</v>
      </c>
      <c r="L62" s="6" t="s">
        <v>27</v>
      </c>
      <c r="M62" s="6">
        <v>3.2</v>
      </c>
      <c r="N62" s="6">
        <v>1.2</v>
      </c>
      <c r="O62" s="6">
        <v>0</v>
      </c>
      <c r="P62" s="6">
        <v>-1.5</v>
      </c>
      <c r="Q62" s="6">
        <v>0</v>
      </c>
      <c r="R62" s="6"/>
      <c r="S62" s="6">
        <f>SUM(M62:Q62)</f>
        <v>2.9000000000000004</v>
      </c>
      <c r="T62" s="6">
        <f>COUNTIFS($Y$2:$Y$63, Y62, $S$2:$S$63, "&gt;"&amp;S62) + 1</f>
        <v>49</v>
      </c>
      <c r="U62" s="6">
        <f>0.85*E62+T62*0.15</f>
        <v>59.2</v>
      </c>
      <c r="V62" s="6">
        <f>100.4-0.4*W62</f>
        <v>76</v>
      </c>
      <c r="W62" s="6">
        <f>COUNTIFS($Y$2:$Y$63, Y62, $U$2:$U$63, "&lt;"&amp;U62) + 1</f>
        <v>61</v>
      </c>
      <c r="X62" s="5">
        <v>62</v>
      </c>
      <c r="Y62" s="6" t="s">
        <v>339</v>
      </c>
      <c r="Z62" s="10"/>
    </row>
    <row r="63" spans="1:26">
      <c r="A63" s="5">
        <v>391</v>
      </c>
      <c r="B63" s="12">
        <v>1120220858</v>
      </c>
      <c r="C63" s="13" t="s">
        <v>400</v>
      </c>
      <c r="D63" s="6" t="str">
        <f>VLOOKUP([1]成绩单!B92,[1]Sheet1!$A:$K,4,0)</f>
        <v>精工2313</v>
      </c>
      <c r="E63" s="12">
        <v>62</v>
      </c>
      <c r="F63" s="14">
        <v>1</v>
      </c>
      <c r="G63" s="15">
        <v>50.935499999999998</v>
      </c>
      <c r="H63" s="12">
        <v>65</v>
      </c>
      <c r="I63" s="16">
        <v>143.5</v>
      </c>
      <c r="J63" s="12">
        <v>17</v>
      </c>
      <c r="K63" s="12">
        <v>9</v>
      </c>
      <c r="L63" s="13" t="s">
        <v>96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13"/>
      <c r="S63" s="6">
        <f>SUM(M63:Q63)</f>
        <v>0</v>
      </c>
      <c r="T63" s="6">
        <f>COUNTIFS($Y$2:$Y$63, Y63, $S$2:$S$63, "&gt;"&amp;S63) + 1</f>
        <v>58</v>
      </c>
      <c r="U63" s="6">
        <f>0.85*E63+T63*0.15</f>
        <v>61.399999999999991</v>
      </c>
      <c r="V63" s="6">
        <f>100.4-0.4*W63</f>
        <v>75.600000000000009</v>
      </c>
      <c r="W63" s="6">
        <f>COUNTIFS($Y$2:$Y$63, Y63, $U$2:$U$63, "&lt;"&amp;U63) + 1</f>
        <v>62</v>
      </c>
      <c r="X63" s="12">
        <v>62</v>
      </c>
      <c r="Y63" s="13" t="s">
        <v>339</v>
      </c>
      <c r="Z63" s="1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车辆工程</vt:lpstr>
      <vt:lpstr>工业工程</vt:lpstr>
      <vt:lpstr>机械工程</vt:lpstr>
      <vt:lpstr>能源与动力工程</vt:lpstr>
      <vt:lpstr>智能制造工程</vt:lpstr>
      <vt:lpstr>装甲车辆工程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刘铁彦</dc:creator>
  <cp:lastModifiedBy>铁彦 刘</cp:lastModifiedBy>
  <dcterms:created xsi:type="dcterms:W3CDTF">2015-06-05T18:19:34Z</dcterms:created>
  <dcterms:modified xsi:type="dcterms:W3CDTF">2026-08-14T09:40:11Z</dcterms:modified>
</cp:coreProperties>
</file>